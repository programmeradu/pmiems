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3.xml" ContentType="application/vnd.openxmlformats-officedocument.drawing+xml"/>
  <Override PartName="/xl/drawings/drawing4.xml" ContentType="application/vnd.openxmlformats-officedocument.drawing+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Ex1.xml" ContentType="application/vnd.ms-office.chartex+xml"/>
  <Override PartName="/xl/charts/style7.xml" ContentType="application/vnd.ms-office.chartstyle+xml"/>
  <Override PartName="/xl/charts/colors7.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sam\Downloads\"/>
    </mc:Choice>
  </mc:AlternateContent>
  <xr:revisionPtr revIDLastSave="0" documentId="13_ncr:1_{36E5CB84-CD28-47CC-86E7-70417B710464}" xr6:coauthVersionLast="47" xr6:coauthVersionMax="47" xr10:uidLastSave="{00000000-0000-0000-0000-000000000000}"/>
  <bookViews>
    <workbookView xWindow="-120" yWindow="-120" windowWidth="20730" windowHeight="11040" firstSheet="1" activeTab="1" xr2:uid="{00000000-000D-0000-FFFF-FFFF00000000}"/>
  </bookViews>
  <sheets>
    <sheet name="UserSettings" sheetId="11" state="veryHidden" r:id="rId1"/>
    <sheet name="Welcome" sheetId="5" r:id="rId2"/>
    <sheet name="Data entry" sheetId="4" r:id="rId3"/>
    <sheet name="Analysis" sheetId="3" r:id="rId4"/>
    <sheet name="Reports" sheetId="2" r:id="rId5"/>
    <sheet name="Set up" sheetId="12" r:id="rId6"/>
    <sheet name="database" sheetId="7" r:id="rId7"/>
    <sheet name="raw" sheetId="6" r:id="rId8"/>
    <sheet name="LanguagesBackup" sheetId="9" state="veryHidden" r:id="rId9"/>
    <sheet name="Languages" sheetId="8" r:id="rId10"/>
  </sheets>
  <functionGroups builtInGroupCount="19"/>
  <externalReferences>
    <externalReference r:id="rId11"/>
  </externalReferences>
  <definedNames>
    <definedName name="_xlchart.v5.0" hidden="1">Analysis!$O$27</definedName>
    <definedName name="_xlchart.v5.1" hidden="1">Analysis!$O$28:$O$34</definedName>
    <definedName name="_xlchart.v5.2" hidden="1">Analysis!$P$27</definedName>
    <definedName name="_xlchart.v5.3" hidden="1">Analysis!$P$28:$P$34</definedName>
    <definedName name="_xlchart.v5.4" hidden="1">Analysis!$Q$27</definedName>
    <definedName name="_xlchart.v5.5" hidden="1">Analysis!$Q$28:$Q$34</definedName>
    <definedName name="CurrentLanguage">1</definedName>
  </definedNames>
  <calcPr calcId="191029"/>
  <pivotCaches>
    <pivotCache cacheId="2" r:id="rId1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Q32" i="3" l="1"/>
  <c r="O29" i="3"/>
  <c r="O30" i="3"/>
  <c r="O31" i="3"/>
  <c r="O32" i="3"/>
  <c r="O33" i="3"/>
  <c r="O34" i="3"/>
  <c r="O35" i="3"/>
  <c r="O36" i="3"/>
  <c r="O28" i="3"/>
  <c r="T65" i="7"/>
  <c r="T61" i="7"/>
  <c r="T63" i="7" s="1"/>
  <c r="X51" i="7"/>
  <c r="T51" i="7"/>
  <c r="T53" i="7" s="1"/>
  <c r="T45" i="7"/>
  <c r="T39" i="7"/>
  <c r="X37" i="7"/>
  <c r="T35" i="7"/>
  <c r="T27" i="7"/>
  <c r="T29" i="7" s="1"/>
  <c r="X23" i="7"/>
  <c r="W23" i="7"/>
  <c r="T23" i="7"/>
  <c r="T25" i="7" s="1"/>
  <c r="T17" i="7"/>
  <c r="L29" i="7"/>
  <c r="K51" i="7"/>
  <c r="J51" i="7"/>
  <c r="G19" i="3"/>
  <c r="P36" i="3"/>
  <c r="Q35" i="3" l="1"/>
  <c r="Q34" i="3"/>
  <c r="Q33" i="3"/>
  <c r="Q31" i="3"/>
  <c r="Q30" i="3"/>
  <c r="Q29" i="3"/>
  <c r="Q28" i="3"/>
  <c r="B61" i="7"/>
</calcChain>
</file>

<file path=xl/sharedStrings.xml><?xml version="1.0" encoding="utf-8"?>
<sst xmlns="http://schemas.openxmlformats.org/spreadsheetml/2006/main" count="2074" uniqueCount="703">
  <si>
    <t>Home</t>
  </si>
  <si>
    <t>Analysis</t>
  </si>
  <si>
    <t>Reports</t>
  </si>
  <si>
    <t>Union Positions</t>
  </si>
  <si>
    <t>Chairman</t>
  </si>
  <si>
    <t>Vice chairman</t>
  </si>
  <si>
    <t>Treasurer</t>
  </si>
  <si>
    <t>WOC Chair</t>
  </si>
  <si>
    <t>General Secretary</t>
  </si>
  <si>
    <t>Deputy General Secretary</t>
  </si>
  <si>
    <t>President</t>
  </si>
  <si>
    <t>!st Vice Chair</t>
  </si>
  <si>
    <t>2nd Vice Chair</t>
  </si>
  <si>
    <t>Provincial Secretary</t>
  </si>
  <si>
    <t>Provincial Chair</t>
  </si>
  <si>
    <t>Serial Number</t>
  </si>
  <si>
    <t>Email Address</t>
  </si>
  <si>
    <t>Current Address</t>
  </si>
  <si>
    <t>Marital Status</t>
  </si>
  <si>
    <t>Educational Level</t>
  </si>
  <si>
    <t>Membership Position</t>
  </si>
  <si>
    <t>Member Last Name</t>
  </si>
  <si>
    <t>Membership ID Number</t>
  </si>
  <si>
    <t>University</t>
  </si>
  <si>
    <t>Bsc</t>
  </si>
  <si>
    <t>Contract</t>
  </si>
  <si>
    <t>Phd</t>
  </si>
  <si>
    <t>Msc</t>
  </si>
  <si>
    <t>Married</t>
  </si>
  <si>
    <t>A1</t>
  </si>
  <si>
    <t>fonctionnaire</t>
  </si>
  <si>
    <t>B2</t>
  </si>
  <si>
    <t>A2</t>
  </si>
  <si>
    <t>D1</t>
  </si>
  <si>
    <t>contractuelle</t>
  </si>
  <si>
    <t>en attente</t>
  </si>
  <si>
    <t>testing</t>
  </si>
  <si>
    <t>joelaboagye123@gmail.com</t>
  </si>
  <si>
    <t>Permanent</t>
  </si>
  <si>
    <t>KPI</t>
  </si>
  <si>
    <t>Count of Serial Number</t>
  </si>
  <si>
    <t>=</t>
  </si>
  <si>
    <t>number of members</t>
  </si>
  <si>
    <t>Row Labels</t>
  </si>
  <si>
    <t>Grand Total</t>
  </si>
  <si>
    <t>ucc</t>
  </si>
  <si>
    <t>English</t>
  </si>
  <si>
    <t>French</t>
  </si>
  <si>
    <t>Arabic</t>
  </si>
  <si>
    <t>PSI-SUSAS Membership Data Management System</t>
  </si>
  <si>
    <t>Setup</t>
  </si>
  <si>
    <t>Union Dashboard</t>
  </si>
  <si>
    <t>Union Demographics</t>
  </si>
  <si>
    <t>Member locations</t>
  </si>
  <si>
    <t>Educational qualification</t>
  </si>
  <si>
    <t>Members employment type</t>
  </si>
  <si>
    <t>Data entry form</t>
  </si>
  <si>
    <t>add ons</t>
  </si>
  <si>
    <t>Système de gestion des données d’adhésion PSI-SUSAS</t>
  </si>
  <si>
    <t>نظام إدارة بيانات العضوية PSI-SUSAS</t>
  </si>
  <si>
    <t>Domicile</t>
  </si>
  <si>
    <t>وطن</t>
  </si>
  <si>
    <t>Analyse</t>
  </si>
  <si>
    <t>تحليل</t>
  </si>
  <si>
    <t>Rapports</t>
  </si>
  <si>
    <t>التقارير</t>
  </si>
  <si>
    <t>Coup monté</t>
  </si>
  <si>
    <t>اعداد</t>
  </si>
  <si>
    <t>Matricule</t>
  </si>
  <si>
    <t>الرقم التسلسلي</t>
  </si>
  <si>
    <t>Adresse courriel</t>
  </si>
  <si>
    <t>عنوان البريد الإلكتروني</t>
  </si>
  <si>
    <t>Adresse actuelle</t>
  </si>
  <si>
    <t>العنوان الحالي</t>
  </si>
  <si>
    <t>Situation de famille</t>
  </si>
  <si>
    <t>الحالة الاجتماعية</t>
  </si>
  <si>
    <t>Niveau d’éducation</t>
  </si>
  <si>
    <t>المستوى التعليمي</t>
  </si>
  <si>
    <t>Position des membres</t>
  </si>
  <si>
    <t>منصب العضوية</t>
  </si>
  <si>
    <t>Nom de famille du membre</t>
  </si>
  <si>
    <t>اسم العائلة للعضو</t>
  </si>
  <si>
    <t>Numéro d’identification d’adhésion</t>
  </si>
  <si>
    <t>رقم هوية العضوية</t>
  </si>
  <si>
    <t>مؤشر الأداء الرئيسي</t>
  </si>
  <si>
    <t>Nombre de membres</t>
  </si>
  <si>
    <t>عدد الأعضاء</t>
  </si>
  <si>
    <t>Tableau de bord syndical</t>
  </si>
  <si>
    <t>لوحة معلومات الاتحاد</t>
  </si>
  <si>
    <t>Données démographiques syndicales</t>
  </si>
  <si>
    <t>التركيبة السكانية للاتحاد</t>
  </si>
  <si>
    <t>Emplacements des membres</t>
  </si>
  <si>
    <t>مواقع الأعضاء</t>
  </si>
  <si>
    <t>Diplôme d’études</t>
  </si>
  <si>
    <t>المؤهل العلمي</t>
  </si>
  <si>
    <t>Type d’emploi des membres</t>
  </si>
  <si>
    <t>نوع توظيف الأعضاء</t>
  </si>
  <si>
    <t>Formulaire de saisie de données</t>
  </si>
  <si>
    <t>استمارة إدخال البيانات</t>
  </si>
  <si>
    <t>Ajouts</t>
  </si>
  <si>
    <t>الإضافات</t>
  </si>
  <si>
    <t>Positions syndicales</t>
  </si>
  <si>
    <t>المناصب النقابية</t>
  </si>
  <si>
    <t>Président</t>
  </si>
  <si>
    <t>رئيس</t>
  </si>
  <si>
    <t>Vice-président</t>
  </si>
  <si>
    <t>نائب رئيس مجلس الإدارة</t>
  </si>
  <si>
    <t>Trésorier</t>
  </si>
  <si>
    <t>امين الصندوق</t>
  </si>
  <si>
    <t>Président du WOC</t>
  </si>
  <si>
    <t>رئيس WOC</t>
  </si>
  <si>
    <t>Secrétaire Général</t>
  </si>
  <si>
    <t>الأمين العام</t>
  </si>
  <si>
    <t>Secrétaire général adjoint</t>
  </si>
  <si>
    <t>نائب الأمين العام</t>
  </si>
  <si>
    <t>!st Vice-président</t>
  </si>
  <si>
    <t>!st نائب الرئيس</t>
  </si>
  <si>
    <t>2e vice-président</t>
  </si>
  <si>
    <t>2 نائب الرئيس</t>
  </si>
  <si>
    <t>Secrétaire provincial</t>
  </si>
  <si>
    <t>سكرتير المقاطعة</t>
  </si>
  <si>
    <t>Président provincial</t>
  </si>
  <si>
    <t>رئيس المقاطعة</t>
  </si>
  <si>
    <t>Username</t>
  </si>
  <si>
    <t>Password</t>
  </si>
  <si>
    <t>FirstLogin</t>
  </si>
  <si>
    <t>Admin</t>
  </si>
  <si>
    <t>No</t>
  </si>
  <si>
    <t>Demographics</t>
  </si>
  <si>
    <t>Contact information</t>
  </si>
  <si>
    <t>Employment</t>
  </si>
  <si>
    <t>Employer</t>
  </si>
  <si>
    <t>Employment Type</t>
  </si>
  <si>
    <t>Department</t>
  </si>
  <si>
    <t>member first name</t>
  </si>
  <si>
    <t>member other names</t>
  </si>
  <si>
    <t>sex</t>
  </si>
  <si>
    <t>contact number</t>
  </si>
  <si>
    <t>membership date</t>
  </si>
  <si>
    <t>social security number</t>
  </si>
  <si>
    <t>member children count</t>
  </si>
  <si>
    <t>country of origion</t>
  </si>
  <si>
    <t>employer</t>
  </si>
  <si>
    <t>employment type</t>
  </si>
  <si>
    <t>date of employment</t>
  </si>
  <si>
    <t>place of work</t>
  </si>
  <si>
    <t>department</t>
  </si>
  <si>
    <t>Member First Name</t>
  </si>
  <si>
    <t>Member Other Names</t>
  </si>
  <si>
    <t>Sex</t>
  </si>
  <si>
    <t>Contact Number</t>
  </si>
  <si>
    <t>Country/Region Of Origin</t>
  </si>
  <si>
    <t>Social Security Number</t>
  </si>
  <si>
    <t>Member Children Count</t>
  </si>
  <si>
    <t>Date Of Employment</t>
  </si>
  <si>
    <t>Place Of Work</t>
  </si>
  <si>
    <t>Membership Date</t>
  </si>
  <si>
    <t>Age</t>
  </si>
  <si>
    <t>Male</t>
  </si>
  <si>
    <t>20-25</t>
  </si>
  <si>
    <t>university</t>
  </si>
  <si>
    <t>55455d56d</t>
  </si>
  <si>
    <t>accounting</t>
  </si>
  <si>
    <t>df5666</t>
  </si>
  <si>
    <t>Employment type</t>
  </si>
  <si>
    <t>Temporal</t>
  </si>
  <si>
    <t>Casual</t>
  </si>
  <si>
    <t>Freelance</t>
  </si>
  <si>
    <t>Other</t>
  </si>
  <si>
    <t>Sharifatu</t>
  </si>
  <si>
    <t>Morro</t>
  </si>
  <si>
    <t>fcgbh</t>
  </si>
  <si>
    <t>fghcv</t>
  </si>
  <si>
    <t>fcghv</t>
  </si>
  <si>
    <t>james</t>
  </si>
  <si>
    <t>amoah</t>
  </si>
  <si>
    <t>joel</t>
  </si>
  <si>
    <t>aboagye</t>
  </si>
  <si>
    <t>fiifi</t>
  </si>
  <si>
    <t>Ahmed</t>
  </si>
  <si>
    <t>Abdelwahed</t>
  </si>
  <si>
    <t>Ahmed Abdelwahed</t>
  </si>
  <si>
    <t>Mandy</t>
  </si>
  <si>
    <t>Taha</t>
  </si>
  <si>
    <t>Mandy Taha</t>
  </si>
  <si>
    <t>Dahlia</t>
  </si>
  <si>
    <t>Fetiha</t>
  </si>
  <si>
    <t>Dahlia Fetiha</t>
  </si>
  <si>
    <t>Wegdan</t>
  </si>
  <si>
    <t>Hussien</t>
  </si>
  <si>
    <t>Wegdan Hussien</t>
  </si>
  <si>
    <t>Ibrahim</t>
  </si>
  <si>
    <t>Wageih</t>
  </si>
  <si>
    <t>Ibrahim Wageih</t>
  </si>
  <si>
    <t>Sherif</t>
  </si>
  <si>
    <t>Elmasry</t>
  </si>
  <si>
    <t>Sherif Elmasry</t>
  </si>
  <si>
    <t>Aboubacar</t>
  </si>
  <si>
    <t>Nagondja</t>
  </si>
  <si>
    <t>Boubé</t>
  </si>
  <si>
    <t>Golkoye</t>
  </si>
  <si>
    <t>Oumarou</t>
  </si>
  <si>
    <t xml:space="preserve">Issa </t>
  </si>
  <si>
    <t>Yacouba</t>
  </si>
  <si>
    <t>Gazobi</t>
  </si>
  <si>
    <t>Rachida</t>
  </si>
  <si>
    <t>Naroua</t>
  </si>
  <si>
    <t>Nafissatou</t>
  </si>
  <si>
    <t>Hadou</t>
  </si>
  <si>
    <t>Aouessou</t>
  </si>
  <si>
    <t>Abdourahamane</t>
  </si>
  <si>
    <t>Maman Sani</t>
  </si>
  <si>
    <t>illiassou</t>
  </si>
  <si>
    <t>Maman</t>
  </si>
  <si>
    <t>Sani</t>
  </si>
  <si>
    <t>Magagi</t>
  </si>
  <si>
    <t>Hamsatou</t>
  </si>
  <si>
    <t>Soumana</t>
  </si>
  <si>
    <t>Seydou</t>
  </si>
  <si>
    <t>Maimouna</t>
  </si>
  <si>
    <t>Mme Oumarou</t>
  </si>
  <si>
    <t>Fati</t>
  </si>
  <si>
    <t>Saibou Dodo</t>
  </si>
  <si>
    <t>Mahamane</t>
  </si>
  <si>
    <t>Maaouiya</t>
  </si>
  <si>
    <t>Hachimou</t>
  </si>
  <si>
    <t>Rahila</t>
  </si>
  <si>
    <t>Rabiou</t>
  </si>
  <si>
    <t>Garba</t>
  </si>
  <si>
    <t>Abdou</t>
  </si>
  <si>
    <t>Maman Sofianou</t>
  </si>
  <si>
    <t>Elhadji Hassane</t>
  </si>
  <si>
    <t>Abdoul Razak</t>
  </si>
  <si>
    <t>Cheffou</t>
  </si>
  <si>
    <t>Goussa</t>
  </si>
  <si>
    <t>Assane</t>
  </si>
  <si>
    <t>Luc</t>
  </si>
  <si>
    <t>Haltmeyer</t>
  </si>
  <si>
    <t>Fatouma</t>
  </si>
  <si>
    <t>Maria</t>
  </si>
  <si>
    <t>Nouhou</t>
  </si>
  <si>
    <t>Bakoye</t>
  </si>
  <si>
    <t>Rahinatou</t>
  </si>
  <si>
    <t>Mounkaila</t>
  </si>
  <si>
    <t>Moussa</t>
  </si>
  <si>
    <t>Hamani</t>
  </si>
  <si>
    <t>Niandou</t>
  </si>
  <si>
    <t>Mariama</t>
  </si>
  <si>
    <t>Rahama</t>
  </si>
  <si>
    <t>Tahirou</t>
  </si>
  <si>
    <t>Bado</t>
  </si>
  <si>
    <t>Nahouré</t>
  </si>
  <si>
    <t>Razak</t>
  </si>
  <si>
    <t>Habou</t>
  </si>
  <si>
    <t>Djibo</t>
  </si>
  <si>
    <t>Ounis</t>
  </si>
  <si>
    <t>Gabdoullah</t>
  </si>
  <si>
    <t>Kiari</t>
  </si>
  <si>
    <t>kochi</t>
  </si>
  <si>
    <t>Maina</t>
  </si>
  <si>
    <t>Zeinabou</t>
  </si>
  <si>
    <t>Adamou</t>
  </si>
  <si>
    <t>Abdoulaye</t>
  </si>
  <si>
    <t>Ali</t>
  </si>
  <si>
    <t>saley</t>
  </si>
  <si>
    <t>Abdoul Aziz</t>
  </si>
  <si>
    <t>Soule</t>
  </si>
  <si>
    <t>Chekaraou</t>
  </si>
  <si>
    <t>Zabeirou</t>
  </si>
  <si>
    <t>Mamane</t>
  </si>
  <si>
    <t xml:space="preserve">Ismael </t>
  </si>
  <si>
    <t>Nasser</t>
  </si>
  <si>
    <t xml:space="preserve">Moussa </t>
  </si>
  <si>
    <t>Kindo</t>
  </si>
  <si>
    <t>Rahamata</t>
  </si>
  <si>
    <t>Zeinou</t>
  </si>
  <si>
    <t xml:space="preserve">Zeinabou </t>
  </si>
  <si>
    <t>Amadou</t>
  </si>
  <si>
    <t>Dagara</t>
  </si>
  <si>
    <t xml:space="preserve">Yacouba </t>
  </si>
  <si>
    <t xml:space="preserve">Mayaki </t>
  </si>
  <si>
    <t xml:space="preserve">Moctar </t>
  </si>
  <si>
    <t xml:space="preserve">Morou </t>
  </si>
  <si>
    <t>Gardio</t>
  </si>
  <si>
    <t xml:space="preserve">Zouweratou </t>
  </si>
  <si>
    <t xml:space="preserve">Maman </t>
  </si>
  <si>
    <t>Ousmane</t>
  </si>
  <si>
    <t>Amata</t>
  </si>
  <si>
    <t>Single</t>
  </si>
  <si>
    <t>other</t>
  </si>
  <si>
    <t>marié</t>
  </si>
  <si>
    <t>celibataire</t>
  </si>
  <si>
    <t>Marié</t>
  </si>
  <si>
    <t>divorcé</t>
  </si>
  <si>
    <t>None</t>
  </si>
  <si>
    <t>tomorrow@gmail.com</t>
  </si>
  <si>
    <t>p.o.bos 924</t>
  </si>
  <si>
    <t>aemail.com</t>
  </si>
  <si>
    <t>fghj</t>
  </si>
  <si>
    <t>jamoah1@gmail.com</t>
  </si>
  <si>
    <t>kumasi,ghana</t>
  </si>
  <si>
    <t>Agadez</t>
  </si>
  <si>
    <t>eng.ahmedabdelwahed@</t>
  </si>
  <si>
    <t>3 kaher st, alexandria</t>
  </si>
  <si>
    <t>Diffa</t>
  </si>
  <si>
    <t>eng_mandytaha@yahoo.com</t>
  </si>
  <si>
    <t>Somouha, Alexandria</t>
  </si>
  <si>
    <t>Dosso</t>
  </si>
  <si>
    <t>Dahlia.fetiha90@gmail.com</t>
  </si>
  <si>
    <t>San stefano, Alexandria</t>
  </si>
  <si>
    <t>Maradi</t>
  </si>
  <si>
    <t>Wegdanhusseing@gmail.com</t>
  </si>
  <si>
    <t>kafr abdo,Alexandria</t>
  </si>
  <si>
    <t>Tahoua</t>
  </si>
  <si>
    <t>Ibrahimwageih@gmail.com</t>
  </si>
  <si>
    <t>Hadara, Alexandria</t>
  </si>
  <si>
    <t>Tillaberi</t>
  </si>
  <si>
    <t>sherif.ma.masry@gmail.com</t>
  </si>
  <si>
    <t>Sidi beshr, alexandria</t>
  </si>
  <si>
    <t>Zinder</t>
  </si>
  <si>
    <t>boubeflex@yahoo.fr</t>
  </si>
  <si>
    <t>Niamey</t>
  </si>
  <si>
    <t>38e37e78e6374634</t>
  </si>
  <si>
    <t>112184/W</t>
  </si>
  <si>
    <t>158180/N</t>
  </si>
  <si>
    <t>158210/C</t>
  </si>
  <si>
    <t>160434/T</t>
  </si>
  <si>
    <t>160254/N</t>
  </si>
  <si>
    <t>158194/V</t>
  </si>
  <si>
    <t>R20</t>
  </si>
  <si>
    <t>66527/R</t>
  </si>
  <si>
    <t>160603/U</t>
  </si>
  <si>
    <t>103133/A</t>
  </si>
  <si>
    <t>101408/V</t>
  </si>
  <si>
    <t>158233/R</t>
  </si>
  <si>
    <t>160455/Y</t>
  </si>
  <si>
    <t>160231/F</t>
  </si>
  <si>
    <t>160407/P</t>
  </si>
  <si>
    <t>160362/S</t>
  </si>
  <si>
    <t>158135/H</t>
  </si>
  <si>
    <t>160849/T</t>
  </si>
  <si>
    <t>160189/W</t>
  </si>
  <si>
    <t>75402/k</t>
  </si>
  <si>
    <t>160825/J</t>
  </si>
  <si>
    <t>111446/M</t>
  </si>
  <si>
    <t>160612/V</t>
  </si>
  <si>
    <t>160730/B</t>
  </si>
  <si>
    <t>112254/U</t>
  </si>
  <si>
    <t>112470/C</t>
  </si>
  <si>
    <t>103043/Y</t>
  </si>
  <si>
    <t xml:space="preserve">en attente </t>
  </si>
  <si>
    <t>160223/H</t>
  </si>
  <si>
    <t>160843/L</t>
  </si>
  <si>
    <t>bjnkm,.</t>
  </si>
  <si>
    <t>tobinco</t>
  </si>
  <si>
    <t xml:space="preserve">Bibliotheca Alexandrina </t>
  </si>
  <si>
    <t>MFP/T/E</t>
  </si>
  <si>
    <t>MSP/P/AS</t>
  </si>
  <si>
    <t>bank</t>
  </si>
  <si>
    <t>human resourse</t>
  </si>
  <si>
    <t>ddfkhdjfhjdhf</t>
  </si>
  <si>
    <t>29/02/2022</t>
  </si>
  <si>
    <t>kl;</t>
  </si>
  <si>
    <t>kl</t>
  </si>
  <si>
    <t>accra</t>
  </si>
  <si>
    <t>human resource</t>
  </si>
  <si>
    <t>c32343434</t>
  </si>
  <si>
    <t>Chatby</t>
  </si>
  <si>
    <t>ICT</t>
  </si>
  <si>
    <t>29/9/2021</t>
  </si>
  <si>
    <t>Vice President</t>
  </si>
  <si>
    <t>Engineeing</t>
  </si>
  <si>
    <t>Member</t>
  </si>
  <si>
    <t>Culture Outreach</t>
  </si>
  <si>
    <t xml:space="preserve">Librarian </t>
  </si>
  <si>
    <t>Assistant  treasurer</t>
  </si>
  <si>
    <t>Presedent</t>
  </si>
  <si>
    <t>HNN</t>
  </si>
  <si>
    <t>SG A2</t>
  </si>
  <si>
    <t>CHR</t>
  </si>
  <si>
    <t>information A1</t>
  </si>
  <si>
    <t>HABDN</t>
  </si>
  <si>
    <t>Mutualiste A1</t>
  </si>
  <si>
    <t>Femme travailleuse A1</t>
  </si>
  <si>
    <t>CSME/Tahoua</t>
  </si>
  <si>
    <t>Femme travailleuse BER/TH</t>
  </si>
  <si>
    <t>promotion des jeunes</t>
  </si>
  <si>
    <t>conflit et negociation</t>
  </si>
  <si>
    <t>HNZ</t>
  </si>
  <si>
    <t>SG BER/Zinder</t>
  </si>
  <si>
    <t>millitante</t>
  </si>
  <si>
    <t>Section CSME/tahoua</t>
  </si>
  <si>
    <t>millitant</t>
  </si>
  <si>
    <t>Tillaberi CSME</t>
  </si>
  <si>
    <t>section CSME/tillaberi</t>
  </si>
  <si>
    <t>Tahoua CSME</t>
  </si>
  <si>
    <t>anout</t>
  </si>
  <si>
    <t>Millitant</t>
  </si>
  <si>
    <t>Bilma</t>
  </si>
  <si>
    <t>tessaoua</t>
  </si>
  <si>
    <t>Konni</t>
  </si>
  <si>
    <t>Ifferouane</t>
  </si>
  <si>
    <t>Galmi</t>
  </si>
  <si>
    <t>militante</t>
  </si>
  <si>
    <t xml:space="preserve">millitante </t>
  </si>
  <si>
    <t>50413106</t>
  </si>
  <si>
    <t>51532802</t>
  </si>
  <si>
    <t>51780601</t>
  </si>
  <si>
    <t>712012</t>
  </si>
  <si>
    <t>10044</t>
  </si>
  <si>
    <t>Female</t>
  </si>
  <si>
    <t>Count of Age</t>
  </si>
  <si>
    <t>35-40</t>
  </si>
  <si>
    <t>Count of employer</t>
  </si>
  <si>
    <t>Union membership</t>
  </si>
  <si>
    <t>High School</t>
  </si>
  <si>
    <t>College</t>
  </si>
  <si>
    <t>Training college</t>
  </si>
  <si>
    <t>none</t>
  </si>
  <si>
    <t>sam</t>
  </si>
  <si>
    <t>password</t>
  </si>
  <si>
    <t>Welcome to The PSI-SUSAS Membership data management system._x000B__x000B_The sun dipped below the horizon, painting the sky with hues of orange and pink. A gentle breeze swept through the trees, rustling the leaves like a whispered conversation. The library was silent except for the occasional sound of pages turning and pens scratching. She poured her coffee slowly, watching the steam rise in delicate spirals. Time seemed to stretch endlessly as they waited for the train to arrive. A stack of old photographs lay on the table, each one telling a story long forgotten. He adjusted his glasses and glanced at the clock, realizing he was late once again. The scent of fresh rain lingered in the air, mingling with the earthy aroma of the forest. Her laughter echoed through the room, light and carefre, as if it could chase away the gloom. A sindarkness, casting elongated shadows on the walls.
_x000B__x000B_</t>
  </si>
  <si>
    <t>union Age range</t>
  </si>
  <si>
    <t>Original Text</t>
  </si>
  <si>
    <t>Database</t>
  </si>
  <si>
    <t>Bibliotheca Alexandrina</t>
  </si>
  <si>
    <t>Sakou</t>
  </si>
  <si>
    <t>Salifou</t>
  </si>
  <si>
    <t>Librarian</t>
  </si>
  <si>
    <t>Issoufou</t>
  </si>
  <si>
    <t>Ichakou</t>
  </si>
  <si>
    <t>Ismaila</t>
  </si>
  <si>
    <t>Nana Fatsouma</t>
  </si>
  <si>
    <t>Tchiari</t>
  </si>
  <si>
    <t>Ousseini</t>
  </si>
  <si>
    <t>Abdou Dan Baba</t>
  </si>
  <si>
    <t>Nayessa</t>
  </si>
  <si>
    <t>Assoumana</t>
  </si>
  <si>
    <t>Abdouramane</t>
  </si>
  <si>
    <t>Illela</t>
  </si>
  <si>
    <t>Saidou</t>
  </si>
  <si>
    <t>Hassan</t>
  </si>
  <si>
    <t>Base de données</t>
  </si>
  <si>
    <t>قاعدة بيانات</t>
  </si>
  <si>
    <t>Démographie</t>
  </si>
  <si>
    <t>التركيبه السكانيه</t>
  </si>
  <si>
    <t>Coordonnées</t>
  </si>
  <si>
    <t>معلومات الاتصال</t>
  </si>
  <si>
    <t>Emploi</t>
  </si>
  <si>
    <t>توظيف</t>
  </si>
  <si>
    <t>Appartenance syndicale</t>
  </si>
  <si>
    <t>عضوية النقابة</t>
  </si>
  <si>
    <t>Numéro de contact</t>
  </si>
  <si>
    <t>رقم الاتصال</t>
  </si>
  <si>
    <t>Employeur</t>
  </si>
  <si>
    <t>مستخدم</t>
  </si>
  <si>
    <t>Prénom du membre</t>
  </si>
  <si>
    <t>الاسم الأول للعضو</t>
  </si>
  <si>
    <t>Type d’emploi</t>
  </si>
  <si>
    <t>نوع التوظيف</t>
  </si>
  <si>
    <t>Date d’adhésion</t>
  </si>
  <si>
    <t>تاريخ العضوية</t>
  </si>
  <si>
    <t>Date d’emploi</t>
  </si>
  <si>
    <t>تاريخ التوظيف</t>
  </si>
  <si>
    <t>Autres noms de membres</t>
  </si>
  <si>
    <t>أسماء الأعضاء الأخرى</t>
  </si>
  <si>
    <t>Pays/Région d’origine</t>
  </si>
  <si>
    <t>بلد / منطقة المنشأ</t>
  </si>
  <si>
    <t>Lieu de travail</t>
  </si>
  <si>
    <t>مكان العمل</t>
  </si>
  <si>
    <t>Sexe</t>
  </si>
  <si>
    <t>جنس</t>
  </si>
  <si>
    <t>Numéro de sécurité sociale</t>
  </si>
  <si>
    <t>رقم الضمان الاجتماعي</t>
  </si>
  <si>
    <t>Département</t>
  </si>
  <si>
    <t>قسم</t>
  </si>
  <si>
    <t>Âge</t>
  </si>
  <si>
    <t>عمر</t>
  </si>
  <si>
    <t>Membre : Les enfants comptent</t>
  </si>
  <si>
    <t>عدد الأطفال الأعضاء</t>
  </si>
  <si>
    <t>sexe</t>
  </si>
  <si>
    <t>Pays d’origine</t>
  </si>
  <si>
    <t>بلد أوريغيون</t>
  </si>
  <si>
    <t>membre Les enfants comptent</t>
  </si>
  <si>
    <t>employeur</t>
  </si>
  <si>
    <t>la date d’emploi\u00A0;</t>
  </si>
  <si>
    <t>lieu de travail</t>
  </si>
  <si>
    <t>département</t>
  </si>
  <si>
    <t>union Tranche d’âge</t>
  </si>
  <si>
    <t>الاتحاد الفئة العمرية</t>
  </si>
  <si>
    <t>Lycée</t>
  </si>
  <si>
    <t>المدرسة الثانوية</t>
  </si>
  <si>
    <t>دائم</t>
  </si>
  <si>
    <t>Université</t>
  </si>
  <si>
    <t>الكليه</t>
  </si>
  <si>
    <t>Temporaire</t>
  </si>
  <si>
    <t>مؤقت</t>
  </si>
  <si>
    <t>جامعة</t>
  </si>
  <si>
    <t>Désinvolte</t>
  </si>
  <si>
    <t>عارضه</t>
  </si>
  <si>
    <t>École supérieure</t>
  </si>
  <si>
    <t>كلية التدريب</t>
  </si>
  <si>
    <t>Pigiste</t>
  </si>
  <si>
    <t>حسابهم الخاص</t>
  </si>
  <si>
    <t>autre</t>
  </si>
  <si>
    <t>آخر</t>
  </si>
  <si>
    <t>Contrat</t>
  </si>
  <si>
    <t>عقد</t>
  </si>
  <si>
    <t>aucun</t>
  </si>
  <si>
    <t>اي</t>
  </si>
  <si>
    <t>Autre</t>
  </si>
  <si>
    <t>test</t>
  </si>
  <si>
    <t>اختبار</t>
  </si>
  <si>
    <t>Mâle</t>
  </si>
  <si>
    <t>ذكر</t>
  </si>
  <si>
    <t>Célibataire</t>
  </si>
  <si>
    <t>واحد</t>
  </si>
  <si>
    <t>أغاديز</t>
  </si>
  <si>
    <t>شريفاتو</t>
  </si>
  <si>
    <t>Colline</t>
  </si>
  <si>
    <t>تل</t>
  </si>
  <si>
    <t>Femelle</t>
  </si>
  <si>
    <t>أنثى</t>
  </si>
  <si>
    <t>متزوج</t>
  </si>
  <si>
    <t>P.O.BOS 924</t>
  </si>
  <si>
    <t>ص.ب 924</t>
  </si>
  <si>
    <t>ديفا</t>
  </si>
  <si>
    <t>Ucc</t>
  </si>
  <si>
    <t>UCC</t>
  </si>
  <si>
    <t>banque</t>
  </si>
  <si>
    <t>بنك</t>
  </si>
  <si>
    <t>Ressources humaines</t>
  </si>
  <si>
    <t>الموارد البشرية</t>
  </si>
  <si>
    <t>DDFKHDJFHJDHF</t>
  </si>
  <si>
    <t>James</t>
  </si>
  <si>
    <t>جيمس</t>
  </si>
  <si>
    <t>Amoé</t>
  </si>
  <si>
    <t>أمواه</t>
  </si>
  <si>
    <t>Kumasi, Ghana</t>
  </si>
  <si>
    <t>كوماسي ، غانا</t>
  </si>
  <si>
    <t>Tobinco</t>
  </si>
  <si>
    <t>توبينكو</t>
  </si>
  <si>
    <t>Accra</t>
  </si>
  <si>
    <t>أكرا</t>
  </si>
  <si>
    <t>Réf. C32343434</t>
  </si>
  <si>
    <t>ج32343434</t>
  </si>
  <si>
    <t>ماندي</t>
  </si>
  <si>
    <t>Vouloir</t>
  </si>
  <si>
    <t>أراد</t>
  </si>
  <si>
    <t>ماندي طه</t>
  </si>
  <si>
    <t>Doctorat</t>
  </si>
  <si>
    <t>الدكتوراه</t>
  </si>
  <si>
    <t>Somouha, Alexandrie</t>
  </si>
  <si>
    <t>سموحة, الإسكندرية</t>
  </si>
  <si>
    <t>Précédent</t>
  </si>
  <si>
    <t>ظهر</t>
  </si>
  <si>
    <t>مكتبة الإسكندرية</t>
  </si>
  <si>
    <t>شاتبي</t>
  </si>
  <si>
    <t>Motorisation</t>
  </si>
  <si>
    <t>المحركات</t>
  </si>
  <si>
    <t>Membre</t>
  </si>
  <si>
    <t>عضو</t>
  </si>
  <si>
    <t>ويغدان</t>
  </si>
  <si>
    <t>حسين</t>
  </si>
  <si>
    <t>وغدان حسين</t>
  </si>
  <si>
    <t>بكالوريوس العلوم</t>
  </si>
  <si>
    <t>kafr abdo,Alexandrie</t>
  </si>
  <si>
    <t>كفر عبده ، الإسكندرية</t>
  </si>
  <si>
    <t>تاهوا</t>
  </si>
  <si>
    <t>Diffusion culturelle</t>
  </si>
  <si>
    <t>التوعية الثقافية</t>
  </si>
  <si>
    <t>شريف</t>
  </si>
  <si>
    <t>المصري</t>
  </si>
  <si>
    <t>Rif Elmasry</t>
  </si>
  <si>
    <t>ريف المصري</t>
  </si>
  <si>
    <t>Sidi Beshr, Alexandrie</t>
  </si>
  <si>
    <t>سيدي بشر، الإسكندرية</t>
  </si>
  <si>
    <t>زيندر</t>
  </si>
  <si>
    <t>TIC</t>
  </si>
  <si>
    <t>تكنولوجيا المعلومات</t>
  </si>
  <si>
    <t>سابقه</t>
  </si>
  <si>
    <t>ساكو</t>
  </si>
  <si>
    <t>Golkoïé</t>
  </si>
  <si>
    <t>جولكوي</t>
  </si>
  <si>
    <t>أومارو</t>
  </si>
  <si>
    <t>أ 2</t>
  </si>
  <si>
    <t>نيامي</t>
  </si>
  <si>
    <t>تيلابيري</t>
  </si>
  <si>
    <t>158180/ن</t>
  </si>
  <si>
    <t>MFP / T / E</t>
  </si>
  <si>
    <t>رسمي</t>
  </si>
  <si>
    <t>informations A1</t>
  </si>
  <si>
    <t>المعلومات A1</t>
  </si>
  <si>
    <t>رشيدة</t>
  </si>
  <si>
    <t>ساليفو</t>
  </si>
  <si>
    <t>ناروا</t>
  </si>
  <si>
    <t>160434 / تي</t>
  </si>
  <si>
    <t>Bibliothécaire</t>
  </si>
  <si>
    <t>مكتبه</t>
  </si>
  <si>
    <t>المرأة العاملة A1</t>
  </si>
  <si>
    <t>أويسو</t>
  </si>
  <si>
    <t>عبد الرحمن</t>
  </si>
  <si>
    <t>158194 / فولت</t>
  </si>
  <si>
    <t>تعزيز الشباب</t>
  </si>
  <si>
    <t>امي</t>
  </si>
  <si>
    <t>Sain</t>
  </si>
  <si>
    <t>صحي</t>
  </si>
  <si>
    <t>ماجي</t>
  </si>
  <si>
    <t>N° A1</t>
  </si>
  <si>
    <t>أ 1</t>
  </si>
  <si>
    <t>Référence 66527/R</t>
  </si>
  <si>
    <t>66527 / ص</t>
  </si>
  <si>
    <t>SG BER / Zinder</t>
  </si>
  <si>
    <t>ماك</t>
  </si>
  <si>
    <t>103133 / أ</t>
  </si>
  <si>
    <t>CSME / تاهوا</t>
  </si>
  <si>
    <t>قسم CSME / tahoua</t>
  </si>
  <si>
    <t>الماك</t>
  </si>
  <si>
    <t>المعوية</t>
  </si>
  <si>
    <t>هاشيمو</t>
  </si>
  <si>
    <t>ب 2</t>
  </si>
  <si>
    <t>158233 / ص</t>
  </si>
  <si>
    <t>إيسوفو</t>
  </si>
  <si>
    <t>عبده</t>
  </si>
  <si>
    <t>مامان صوفيانو</t>
  </si>
  <si>
    <t>مأمور المرور</t>
  </si>
  <si>
    <t>MSP / P / AS</t>
  </si>
  <si>
    <t>Millionnaire</t>
  </si>
  <si>
    <t>مليونير</t>
  </si>
  <si>
    <t>أبو بكر</t>
  </si>
  <si>
    <t>شيفو</t>
  </si>
  <si>
    <t>لوك</t>
  </si>
  <si>
    <t>هالتماير</t>
  </si>
  <si>
    <t>فطومة</t>
  </si>
  <si>
    <t>راهيناتو</t>
  </si>
  <si>
    <t>مونكايلا</t>
  </si>
  <si>
    <t>موسى</t>
  </si>
  <si>
    <t>تاهوا CSME</t>
  </si>
  <si>
    <t>رحمة</t>
  </si>
  <si>
    <t>طاهيرو</t>
  </si>
  <si>
    <t>بادو</t>
  </si>
  <si>
    <t>رزاق</t>
  </si>
  <si>
    <t>هابو</t>
  </si>
  <si>
    <t>160849 / تي</t>
  </si>
  <si>
    <t>أنوت</t>
  </si>
  <si>
    <t>أنيس</t>
  </si>
  <si>
    <t>عبد الله</t>
  </si>
  <si>
    <t>مرادي</t>
  </si>
  <si>
    <t>75402 / ك</t>
  </si>
  <si>
    <t>المليتانت</t>
  </si>
  <si>
    <t>زينبو</t>
  </si>
  <si>
    <t>أدامو</t>
  </si>
  <si>
    <t>Tessaoua</t>
  </si>
  <si>
    <t>تساوة</t>
  </si>
  <si>
    <t>Saley</t>
  </si>
  <si>
    <t>سالي</t>
  </si>
  <si>
    <t>عبد العزيز</t>
  </si>
  <si>
    <t>111446 / م</t>
  </si>
  <si>
    <t>كوني</t>
  </si>
  <si>
    <t>إيشاكو</t>
  </si>
  <si>
    <t>Ismaïlia</t>
  </si>
  <si>
    <t>الإسماعيلة</t>
  </si>
  <si>
    <t>ماماني</t>
  </si>
  <si>
    <t>Référence 160730/B</t>
  </si>
  <si>
    <t>160730 / ب</t>
  </si>
  <si>
    <t>جلمي</t>
  </si>
  <si>
    <t>C’est un Fatsouma</t>
  </si>
  <si>
    <t>إنها فتسوما</t>
  </si>
  <si>
    <t>تشياري</t>
  </si>
  <si>
    <t>ناصر</t>
  </si>
  <si>
    <t>Référence 112470/C</t>
  </si>
  <si>
    <t>112470 / ج</t>
  </si>
  <si>
    <t>بيلما</t>
  </si>
  <si>
    <t>سوزان</t>
  </si>
  <si>
    <t>أوسيني</t>
  </si>
  <si>
    <t>Abdou et Baba</t>
  </si>
  <si>
    <t>عبده وبابا</t>
  </si>
  <si>
    <t>نايسا</t>
  </si>
  <si>
    <t>أسومانا</t>
  </si>
  <si>
    <t>عبد الرحمان</t>
  </si>
  <si>
    <t>Eng.Ahmadabdelwahed@</t>
  </si>
  <si>
    <t>م. أحمد عبد الواحد@</t>
  </si>
  <si>
    <t>160223 / ساعة</t>
  </si>
  <si>
    <t>إيليلا</t>
  </si>
  <si>
    <t>Saïdou</t>
  </si>
  <si>
    <t>سعيدو</t>
  </si>
  <si>
    <t>160843 / لتر</t>
  </si>
  <si>
    <t>حسن</t>
  </si>
  <si>
    <t>Bien-aimé</t>
  </si>
  <si>
    <t>محبوب</t>
  </si>
  <si>
    <t>مطلق</t>
  </si>
  <si>
    <t>د1</t>
  </si>
  <si>
    <t xml:space="preserve">Bienvenue dans le système de gestion des données d’adhésion PSI-SUSAS.
Le soleil plongeait sous l’horizon, peignant le ciel de teintes d’orange et de rose. Une douce brise balayait les arbres, faisant bruisser les feuilles comme une conversation chuchotée. La bibliothèque était silencieuse, à l’exception du bruit occasionnel des pages qui se tournaient et des plumes qui grattaient. Elle versa lentement son café, regardant la vapeur monter en spirales délicates. Le temps semblait s’étirer à l’infini alors qu’ils attendaient l’arrivée du train. Une pile de vieilles photographies était posée sur la table, chacune racontant une histoire oubliée depuis longtemps. Il ajusta ses lunettes et jeta un coup d’œil à l’horloge, se rendant compte qu’il était encore une fois en retard. L’odeur de la pluie fraîche persistait dans l’air, se mêlant à l’arôme terreux de la forêt. Son rire résonnait dans la pièce, léger et insouciant, comme s’il pouvait chasser l’obscurité. Une obscurité pécheresse, projetant des ombres allongées sur les murs.
</t>
  </si>
  <si>
    <t xml:space="preserve">مرحبا بكم في نظام إدارة بيانات عضوية PSI-SUSAS.
انخفضت الشمس تحت الأفق ، وترسم السماء بألوان البرتقالي والوردي. اجتاح نسيم لطيف الأشجار ، وسرقة الأوراق مثل محادثة همسة. كانت المكتبة صامتة باستثناء الصوت العرضي لقلب الصفحات وخدش الأقلام. سكبت قهوتها ببطء ، وشاهدت البخار يرتفع في حلزونات دقيقة. بدا أن الوقت يمتد إلى ما لا نهاية بينما كانوا ينتظرون وصول القطار. كومة من الصور القديمة ملقاة على الطاولة ، كل واحدة تحكي قصة منسية منذ زمن طويل. قام بتعديل نظارته ونظر إلى الساعة ، مدركا أنه تأخر مرة أخرى. بقيت رائحة المطر العذب في الهواء ، واختلطت برائحة الغابة الترابية. تردد صدى ضحكتها في جميع أنحاء الغرفة ، الضوء والقلق ، كما لو كان بإمكانه طرد الكآبة. ظلام خطيئة يلقي بظلال ممدودة على الجدران.
</t>
  </si>
  <si>
    <t>Data entry</t>
  </si>
  <si>
    <t>Saisie de données</t>
  </si>
  <si>
    <t>إدخال البيانات</t>
  </si>
  <si>
    <t>Submit</t>
  </si>
  <si>
    <t>يُقدِّم</t>
  </si>
  <si>
    <t>Soumettre</t>
  </si>
  <si>
    <t>Refresh</t>
  </si>
  <si>
    <t>Rafraîchir</t>
  </si>
  <si>
    <t>ينعش</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</si>
</sst>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scheme val="minor"/>
    </font>
    <font>
      <b/>
      <sz val="18"/>
      <color theme="1"/>
      <name val="Times New Roman"/>
      <family val="1"/>
    </font>
    <font>
      <b/>
      <sz val="18"/>
      <color theme="1"/>
      <name val="Tahoma"/>
      <family val="2"/>
    </font>
    <font>
      <sz val="11"/>
      <color theme="1"/>
      <name val="Calibri"/>
      <family val="2"/>
      <scheme val="minor"/>
    </font>
    <font>
      <sz val="11"/>
      <color theme="0"/>
      <name val="Calibri"/>
      <family val="2"/>
      <scheme val="minor"/>
    </font>
    <font>
      <sz val="11"/>
      <color rgb="FF000000"/>
      <name val="Calibri"/>
      <family val="2"/>
    </font>
    <font>
      <b/>
      <sz val="11"/>
      <color theme="1"/>
      <name val="Calibri"/>
      <family val="2"/>
      <scheme val="minor"/>
    </font>
    <font>
      <sz val="11"/>
      <color theme="1"/>
      <name val="Tahoma"/>
      <family val="2"/>
    </font>
    <font>
      <b/>
      <sz val="11"/>
      <color theme="1"/>
      <name val="Tahoma"/>
      <family val="2"/>
    </font>
    <font>
      <b/>
      <sz val="14"/>
      <color theme="1"/>
      <name val="Tahoma"/>
      <family val="2"/>
    </font>
    <font>
      <sz val="14"/>
      <color theme="1"/>
      <name val="Tahoma"/>
      <family val="2"/>
    </font>
    <font>
      <b/>
      <sz val="22"/>
      <color theme="1"/>
      <name val="Tahoma"/>
      <family val="2"/>
    </font>
    <font>
      <u/>
      <sz val="11"/>
      <color theme="10"/>
      <name val="Calibri"/>
      <family val="2"/>
      <scheme val="minor"/>
    </font>
    <font>
      <sz val="11"/>
      <color theme="0"/>
      <name val="Tahoma"/>
      <family val="2"/>
    </font>
    <font>
      <b/>
      <sz val="11"/>
      <color rgb="FFFF0000"/>
      <name val="Calibri"/>
      <family val="2"/>
      <scheme val="minor"/>
    </font>
  </fonts>
  <fills count="6">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4" tint="0.79998168889431442"/>
        <bgColor theme="4" tint="0.79998168889431442"/>
      </patternFill>
    </fill>
    <fill>
      <patternFill patternType="solid">
        <fgColor theme="4" tint="0.79998168889431442"/>
        <bgColor indexed="64"/>
      </patternFill>
    </fill>
  </fills>
  <borders count="14">
    <border>
      <left/>
      <right/>
      <top/>
      <bottom/>
      <diagonal/>
    </border>
    <border>
      <left/>
      <right/>
      <top style="thin">
        <color theme="1"/>
      </top>
      <bottom/>
      <diagonal/>
    </border>
    <border>
      <left/>
      <right/>
      <top/>
      <bottom style="thin">
        <color theme="1"/>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top/>
      <bottom style="double">
        <color indexed="64"/>
      </bottom>
      <diagonal/>
    </border>
    <border>
      <left/>
      <right/>
      <top style="thin">
        <color indexed="64"/>
      </top>
      <bottom/>
      <diagonal/>
    </border>
    <border>
      <left/>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s>
  <cellStyleXfs count="3">
    <xf numFmtId="0" fontId="0" fillId="0" borderId="0"/>
    <xf numFmtId="9" fontId="3" fillId="0" borderId="0" applyFont="0" applyFill="0" applyBorder="0" applyAlignment="0" applyProtection="0"/>
    <xf numFmtId="0" fontId="12" fillId="0" borderId="0" applyNumberFormat="0" applyFill="0" applyBorder="0" applyAlignment="0" applyProtection="0"/>
  </cellStyleXfs>
  <cellXfs count="66">
    <xf numFmtId="0" fontId="0" fillId="0" borderId="0" xfId="0"/>
    <xf numFmtId="14" fontId="0" fillId="0" borderId="0" xfId="0" applyNumberFormat="1"/>
    <xf numFmtId="1" fontId="0" fillId="0" borderId="0" xfId="0" applyNumberFormat="1"/>
    <xf numFmtId="49" fontId="0" fillId="0" borderId="0" xfId="0" applyNumberFormat="1"/>
    <xf numFmtId="0" fontId="0" fillId="3" borderId="0" xfId="0" applyFill="1"/>
    <xf numFmtId="0" fontId="0" fillId="2" borderId="0" xfId="0" applyFill="1"/>
    <xf numFmtId="0" fontId="0" fillId="3" borderId="0" xfId="0" applyFill="1" applyAlignment="1">
      <alignment wrapText="1"/>
    </xf>
    <xf numFmtId="0" fontId="0" fillId="2" borderId="0" xfId="0" applyFill="1" applyAlignment="1">
      <alignment horizontal="center"/>
    </xf>
    <xf numFmtId="0" fontId="2" fillId="2" borderId="0" xfId="0" applyFont="1" applyFill="1"/>
    <xf numFmtId="0" fontId="0" fillId="2" borderId="6" xfId="0" applyFill="1" applyBorder="1"/>
    <xf numFmtId="9" fontId="0" fillId="2" borderId="0" xfId="1" applyFont="1" applyFill="1" applyProtection="1"/>
    <xf numFmtId="0" fontId="0" fillId="0" borderId="0" xfId="0" pivotButton="1"/>
    <xf numFmtId="0" fontId="0" fillId="0" borderId="0" xfId="0" applyAlignment="1">
      <alignment horizontal="left"/>
    </xf>
    <xf numFmtId="0" fontId="0" fillId="0" borderId="0" xfId="0" applyAlignment="1">
      <alignment wrapText="1"/>
    </xf>
    <xf numFmtId="11" fontId="0" fillId="2" borderId="0" xfId="1" applyNumberFormat="1" applyFont="1" applyFill="1" applyProtection="1"/>
    <xf numFmtId="0" fontId="7" fillId="2" borderId="0" xfId="0" applyFont="1" applyFill="1"/>
    <xf numFmtId="0" fontId="9" fillId="2" borderId="0" xfId="0" applyFont="1" applyFill="1"/>
    <xf numFmtId="0" fontId="11" fillId="0" borderId="0" xfId="0" applyFont="1"/>
    <xf numFmtId="14" fontId="11" fillId="0" borderId="0" xfId="0" applyNumberFormat="1" applyFont="1"/>
    <xf numFmtId="1" fontId="11" fillId="0" borderId="0" xfId="0" applyNumberFormat="1" applyFont="1"/>
    <xf numFmtId="49" fontId="11" fillId="0" borderId="0" xfId="0" applyNumberFormat="1" applyFont="1"/>
    <xf numFmtId="0" fontId="4" fillId="2" borderId="0" xfId="0" applyFont="1" applyFill="1"/>
    <xf numFmtId="0" fontId="13" fillId="2" borderId="0" xfId="0" applyFont="1" applyFill="1"/>
    <xf numFmtId="0" fontId="0" fillId="4" borderId="12" xfId="0" applyFill="1" applyBorder="1"/>
    <xf numFmtId="0" fontId="0" fillId="4" borderId="13" xfId="0" applyFill="1" applyBorder="1"/>
    <xf numFmtId="0" fontId="0" fillId="0" borderId="12" xfId="0" applyBorder="1"/>
    <xf numFmtId="0" fontId="0" fillId="0" borderId="13" xfId="0" applyBorder="1"/>
    <xf numFmtId="1" fontId="0" fillId="4" borderId="13" xfId="0" applyNumberFormat="1" applyFill="1" applyBorder="1"/>
    <xf numFmtId="1" fontId="0" fillId="0" borderId="13" xfId="0" applyNumberFormat="1" applyBorder="1"/>
    <xf numFmtId="0" fontId="12" fillId="0" borderId="13" xfId="2" applyBorder="1"/>
    <xf numFmtId="0" fontId="12" fillId="4" borderId="13" xfId="2" applyFill="1" applyBorder="1"/>
    <xf numFmtId="49" fontId="0" fillId="4" borderId="13" xfId="0" applyNumberFormat="1" applyFill="1" applyBorder="1"/>
    <xf numFmtId="49" fontId="0" fillId="0" borderId="13" xfId="0" applyNumberFormat="1" applyBorder="1"/>
    <xf numFmtId="14" fontId="0" fillId="4" borderId="13" xfId="0" applyNumberFormat="1" applyFill="1" applyBorder="1"/>
    <xf numFmtId="14" fontId="0" fillId="0" borderId="13" xfId="0" applyNumberFormat="1" applyBorder="1"/>
    <xf numFmtId="21" fontId="13" fillId="2" borderId="0" xfId="0" applyNumberFormat="1" applyFont="1" applyFill="1"/>
    <xf numFmtId="9" fontId="0" fillId="0" borderId="0" xfId="1" applyFont="1"/>
    <xf numFmtId="0" fontId="0" fillId="0" borderId="0" xfId="0" applyProtection="1">
      <protection locked="0"/>
    </xf>
    <xf numFmtId="0" fontId="6" fillId="2" borderId="5" xfId="0" applyFont="1" applyFill="1" applyBorder="1" applyAlignment="1">
      <alignment wrapText="1"/>
    </xf>
    <xf numFmtId="0" fontId="0" fillId="2" borderId="5" xfId="0" applyFill="1" applyBorder="1"/>
    <xf numFmtId="0" fontId="6" fillId="2" borderId="5" xfId="0" applyFont="1" applyFill="1" applyBorder="1"/>
    <xf numFmtId="0" fontId="7" fillId="5" borderId="0" xfId="0" applyFont="1" applyFill="1"/>
    <xf numFmtId="0" fontId="9" fillId="5" borderId="0" xfId="0" applyFont="1" applyFill="1"/>
    <xf numFmtId="0" fontId="8" fillId="5" borderId="0" xfId="0" applyFont="1" applyFill="1"/>
    <xf numFmtId="0" fontId="10" fillId="5" borderId="0" xfId="0" applyFont="1" applyFill="1"/>
    <xf numFmtId="0" fontId="0" fillId="5" borderId="3" xfId="0" applyFill="1" applyBorder="1"/>
    <xf numFmtId="0" fontId="0" fillId="5" borderId="4" xfId="0" applyFill="1" applyBorder="1"/>
    <xf numFmtId="0" fontId="1" fillId="2" borderId="1" xfId="0" applyFont="1" applyFill="1" applyBorder="1" applyAlignment="1" applyProtection="1">
      <alignment horizontal="center"/>
      <protection locked="0"/>
    </xf>
    <xf numFmtId="0" fontId="0" fillId="2" borderId="1" xfId="0" applyFill="1" applyBorder="1" applyAlignment="1" applyProtection="1">
      <alignment horizontal="center"/>
      <protection locked="0"/>
    </xf>
    <xf numFmtId="0" fontId="0" fillId="2" borderId="2" xfId="0" applyFill="1" applyBorder="1" applyAlignment="1" applyProtection="1">
      <alignment horizontal="center"/>
      <protection locked="0"/>
    </xf>
    <xf numFmtId="0" fontId="8" fillId="5" borderId="9" xfId="0" applyFont="1" applyFill="1" applyBorder="1" applyAlignment="1" applyProtection="1">
      <alignment horizontal="center"/>
      <protection locked="0"/>
    </xf>
    <xf numFmtId="0" fontId="8" fillId="5" borderId="10" xfId="0" applyFont="1" applyFill="1" applyBorder="1" applyAlignment="1" applyProtection="1">
      <alignment horizontal="center"/>
      <protection locked="0"/>
    </xf>
    <xf numFmtId="0" fontId="8" fillId="5" borderId="11" xfId="0" applyFont="1" applyFill="1" applyBorder="1" applyAlignment="1" applyProtection="1">
      <alignment horizontal="center"/>
      <protection locked="0"/>
    </xf>
    <xf numFmtId="14" fontId="8" fillId="5" borderId="9" xfId="0" applyNumberFormat="1" applyFont="1" applyFill="1" applyBorder="1" applyAlignment="1" applyProtection="1">
      <alignment horizontal="center"/>
      <protection locked="0"/>
    </xf>
    <xf numFmtId="0" fontId="9" fillId="5" borderId="0" xfId="0" applyFont="1" applyFill="1" applyAlignment="1">
      <alignment horizontal="center" vertical="center"/>
    </xf>
    <xf numFmtId="0" fontId="9" fillId="5" borderId="0" xfId="0" applyFont="1" applyFill="1" applyAlignment="1">
      <alignment horizontal="center"/>
    </xf>
    <xf numFmtId="0" fontId="12" fillId="5" borderId="9" xfId="2" applyFill="1" applyBorder="1" applyAlignment="1" applyProtection="1">
      <alignment horizontal="center"/>
      <protection locked="0"/>
    </xf>
    <xf numFmtId="0" fontId="2" fillId="2" borderId="1" xfId="0" applyFont="1" applyFill="1" applyBorder="1" applyAlignment="1">
      <alignment horizontal="center"/>
    </xf>
    <xf numFmtId="0" fontId="0" fillId="2" borderId="1" xfId="0" applyFill="1" applyBorder="1" applyAlignment="1">
      <alignment horizontal="center"/>
    </xf>
    <xf numFmtId="0" fontId="0" fillId="2" borderId="2" xfId="0" applyFill="1" applyBorder="1" applyAlignment="1">
      <alignment horizontal="center"/>
    </xf>
    <xf numFmtId="0" fontId="1" fillId="3" borderId="1" xfId="0" applyFont="1" applyFill="1" applyBorder="1" applyAlignment="1">
      <alignment horizontal="center"/>
    </xf>
    <xf numFmtId="0" fontId="0" fillId="3" borderId="1" xfId="0" applyFill="1" applyBorder="1" applyAlignment="1">
      <alignment horizontal="center"/>
    </xf>
    <xf numFmtId="0" fontId="0" fillId="3" borderId="2" xfId="0" applyFill="1" applyBorder="1" applyAlignment="1">
      <alignment horizontal="center"/>
    </xf>
    <xf numFmtId="0" fontId="2" fillId="3" borderId="7" xfId="0" applyFont="1" applyFill="1" applyBorder="1" applyAlignment="1">
      <alignment horizontal="center"/>
    </xf>
    <xf numFmtId="0" fontId="2" fillId="3" borderId="8" xfId="0" applyFont="1" applyFill="1" applyBorder="1" applyAlignment="1">
      <alignment horizontal="center"/>
    </xf>
    <xf numFmtId="0" fontId="14" fillId="0" borderId="0" xfId="0" applyFont="1"/>
  </cellXfs>
  <cellStyles count="3">
    <cellStyle name="Hyperlink" xfId="2" builtinId="8"/>
    <cellStyle name="Normal" xfId="0" builtinId="0"/>
    <cellStyle name="Percent" xfId="1" builtinId="5"/>
  </cellStyles>
  <dxfs count="25">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4" formatCode="dd/mm/yyyy"/>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64" formatCode="dd/mm/yyyy"/>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numFmt numFmtId="1" formatCode="0"/>
    </dxf>
    <dxf>
      <font>
        <b val="0"/>
        <i val="0"/>
        <strike val="0"/>
        <condense val="0"/>
        <extend val="0"/>
        <outline val="0"/>
        <shadow val="0"/>
        <u val="none"/>
        <vertAlign val="baseline"/>
        <sz val="11"/>
        <color theme="1"/>
        <name val="Calibri"/>
        <family val="2"/>
        <scheme val="minor"/>
      </font>
      <numFmt numFmtId="30" formatCode="@"/>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ertAlign val="baseline"/>
        <sz val="11"/>
        <color theme="10"/>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numFmt numFmtId="1" formatCode="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22"/>
        <color theme="1"/>
        <name val="Tahoma"/>
        <family val="2"/>
        <scheme val="none"/>
      </font>
    </dxf>
    <dxf>
      <numFmt numFmtId="0" formatCode="General"/>
    </dxf>
  </dxfs>
  <tableStyles count="0" defaultTableStyle="TableStyleMedium2" defaultPivotStyle="PivotStyleLight16"/>
  <colors>
    <mruColors>
      <color rgb="FFFF7C80"/>
      <color rgb="FFE84646"/>
      <color rgb="FFF8F4EC"/>
      <color rgb="FFECF890"/>
      <color rgb="FFFD947F"/>
      <color rgb="FF429C30"/>
      <color rgb="FFBBB9B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
        <c:spPr>
          <a:solidFill>
            <a:schemeClr val="accent3"/>
          </a:solidFill>
          <a:ln>
            <a:noFill/>
          </a:ln>
          <a:effectLst/>
          <a:scene3d>
            <a:camera prst="orthographicFront"/>
            <a:lightRig rig="brightRoom" dir="t"/>
          </a:scene3d>
          <a:sp3d prstMaterial="flat">
            <a:bevelT w="50800" h="101600" prst="angle"/>
            <a:contourClr>
              <a:srgbClr val="000000"/>
            </a:contourClr>
          </a:sp3d>
        </c:spPr>
        <c:dLbl>
          <c:idx val="0"/>
          <c:layout>
            <c:manualLayout>
              <c:x val="0.18055555555555555"/>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
        <c:spPr>
          <a:solidFill>
            <a:schemeClr val="accent4"/>
          </a:solidFill>
          <a:ln>
            <a:noFill/>
          </a:ln>
          <a:effectLst/>
          <a:scene3d>
            <a:camera prst="orthographicFront"/>
            <a:lightRig rig="brightRoom" dir="t"/>
          </a:scene3d>
          <a:sp3d prstMaterial="flat">
            <a:bevelT w="50800" h="101600" prst="angle"/>
            <a:contourClr>
              <a:srgbClr val="000000"/>
            </a:contourClr>
          </a:sp3d>
        </c:spPr>
        <c:dLbl>
          <c:idx val="0"/>
          <c:layout>
            <c:manualLayout>
              <c:x val="0.14444444444444443"/>
              <c:y val="1.388888888888880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3"/>
        <c:spPr>
          <a:solidFill>
            <a:schemeClr val="accent5"/>
          </a:solidFill>
          <a:ln>
            <a:noFill/>
          </a:ln>
          <a:effectLst/>
          <a:scene3d>
            <a:camera prst="orthographicFront"/>
            <a:lightRig rig="brightRoom" dir="t"/>
          </a:scene3d>
          <a:sp3d prstMaterial="flat">
            <a:bevelT w="50800" h="101600" prst="angle"/>
            <a:contourClr>
              <a:srgbClr val="000000"/>
            </a:contourClr>
          </a:sp3d>
        </c:spPr>
        <c:dLbl>
          <c:idx val="0"/>
          <c:layout>
            <c:manualLayout>
              <c:x val="-0.17499999999999999"/>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4"/>
        <c:spPr>
          <a:solidFill>
            <a:schemeClr val="accent6"/>
          </a:solidFill>
          <a:ln>
            <a:noFill/>
          </a:ln>
          <a:effectLst/>
          <a:scene3d>
            <a:camera prst="orthographicFront"/>
            <a:lightRig rig="brightRoom" dir="t"/>
          </a:scene3d>
          <a:sp3d prstMaterial="flat">
            <a:bevelT w="50800" h="101600" prst="angle"/>
            <a:contourClr>
              <a:srgbClr val="000000"/>
            </a:contourClr>
          </a:sp3d>
        </c:spPr>
        <c:dLbl>
          <c:idx val="0"/>
          <c:layout>
            <c:manualLayout>
              <c:x val="-0.14166666666666666"/>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chemeClr val="accent2"/>
          </a:solidFill>
          <a:ln>
            <a:noFill/>
          </a:ln>
          <a:effectLst/>
          <a:scene3d>
            <a:camera prst="orthographicFront"/>
            <a:lightRig rig="brightRoom" dir="t"/>
          </a:scene3d>
          <a:sp3d prstMaterial="flat">
            <a:bevelT w="50800" h="101600" prst="angle"/>
            <a:contourClr>
              <a:srgbClr val="000000"/>
            </a:contourClr>
          </a:sp3d>
        </c:spPr>
        <c:dLbl>
          <c:idx val="0"/>
          <c:layout>
            <c:manualLayout>
              <c:x val="-0.125"/>
              <c:y val="-8.796296296296296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0277777777777768"/>
              <c:y val="-0.12500000000000006"/>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05998549-3F5A-4FF4-9741-51A02B32A4AE}" type="VALUE">
                  <a:rPr lang="en-US" baseline="0"/>
                  <a:pPr>
                    <a:defRPr sz="900" b="1" i="0" u="none" strike="noStrike" kern="1200" baseline="0">
                      <a:solidFill>
                        <a:schemeClr val="lt1"/>
                      </a:solidFill>
                      <a:latin typeface="+mn-lt"/>
                      <a:ea typeface="+mn-ea"/>
                      <a:cs typeface="+mn-cs"/>
                    </a:defRPr>
                  </a:pPr>
                  <a:t>[VALUE]</a:t>
                </a:fld>
                <a:r>
                  <a:rPr lang="en-US" baseline="0"/>
                  <a:t>, </a:t>
                </a:r>
                <a:fld id="{3C6AC8A4-CF7F-461B-9211-712F219416A1}" type="PERCENTAGE">
                  <a:rPr lang="en-US" baseline="0">
                    <a:solidFill>
                      <a:schemeClr val="tx1"/>
                    </a:solidFill>
                  </a:rPr>
                  <a:pPr>
                    <a:defRPr sz="900" b="1" i="0" u="none" strike="noStrike" kern="1200" baseline="0">
                      <a:solidFill>
                        <a:schemeClr val="lt1"/>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7"/>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8"/>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0277777777777768"/>
              <c:y val="-0.12500000000000006"/>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fld id="{05998549-3F5A-4FF4-9741-51A02B32A4AE}" type="VALUE">
                  <a:rPr lang="en-US" baseline="0"/>
                  <a:pPr>
                    <a:defRPr sz="900" b="1" i="0" u="none" strike="noStrike" kern="1200" baseline="0">
                      <a:solidFill>
                        <a:schemeClr val="lt1"/>
                      </a:solidFill>
                      <a:latin typeface="+mn-lt"/>
                      <a:ea typeface="+mn-ea"/>
                      <a:cs typeface="+mn-cs"/>
                    </a:defRPr>
                  </a:pPr>
                  <a:t>[VALUE]</a:t>
                </a:fld>
                <a:r>
                  <a:rPr lang="en-US" baseline="0"/>
                  <a:t>, </a:t>
                </a:r>
                <a:fld id="{3C6AC8A4-CF7F-461B-9211-712F219416A1}" type="PERCENTAGE">
                  <a:rPr lang="en-US" baseline="0">
                    <a:solidFill>
                      <a:schemeClr val="tx1"/>
                    </a:solidFill>
                  </a:rPr>
                  <a:pPr>
                    <a:defRPr sz="900" b="1" i="0" u="none" strike="noStrike" kern="1200" baseline="0">
                      <a:solidFill>
                        <a:schemeClr val="lt1"/>
                      </a:solidFill>
                      <a:latin typeface="+mn-lt"/>
                      <a:ea typeface="+mn-ea"/>
                      <a:cs typeface="+mn-cs"/>
                    </a:defRPr>
                  </a:pPr>
                  <a:t>[PERCENTAGE]</a:t>
                </a:fld>
                <a:endParaRPr lang="en-US" baseline="0"/>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9"/>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25"/>
              <c:y val="-8.796296296296296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0"/>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8055555555555555"/>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1"/>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4444444444444443"/>
              <c:y val="1.388888888888880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7499999999999999"/>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3"/>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4166666666666666"/>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tx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4"/>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5"/>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0277777777777768"/>
              <c:y val="-0.12500000000000006"/>
            </c:manualLayout>
          </c:layout>
          <c:tx>
            <c:rich>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fld id="{05998549-3F5A-4FF4-9741-51A02B32A4AE}" type="VALUE">
                  <a:rPr lang="en-US" baseline="0">
                    <a:solidFill>
                      <a:schemeClr val="bg1"/>
                    </a:solidFill>
                  </a:rPr>
                  <a:pPr>
                    <a:defRPr sz="900" b="1" i="0" u="none" strike="noStrike" kern="1200" baseline="0">
                      <a:solidFill>
                        <a:schemeClr val="bg1"/>
                      </a:solidFill>
                      <a:latin typeface="+mn-lt"/>
                      <a:ea typeface="+mn-ea"/>
                      <a:cs typeface="+mn-cs"/>
                    </a:defRPr>
                  </a:pPr>
                  <a:t>[VALUE]</a:t>
                </a:fld>
                <a:r>
                  <a:rPr lang="en-US" baseline="0">
                    <a:solidFill>
                      <a:schemeClr val="bg1"/>
                    </a:solidFill>
                  </a:rPr>
                  <a:t>, </a:t>
                </a:r>
                <a:fld id="{3C6AC8A4-CF7F-461B-9211-712F219416A1}" type="PERCENTAGE">
                  <a:rPr lang="en-US" baseline="0">
                    <a:solidFill>
                      <a:schemeClr val="bg1"/>
                    </a:solidFill>
                  </a:rPr>
                  <a:pPr>
                    <a:defRPr sz="900" b="1" i="0" u="none" strike="noStrike" kern="1200" baseline="0">
                      <a:solidFill>
                        <a:schemeClr val="bg1"/>
                      </a:solidFill>
                      <a:latin typeface="+mn-lt"/>
                      <a:ea typeface="+mn-ea"/>
                      <a:cs typeface="+mn-cs"/>
                    </a:defRPr>
                  </a:pPr>
                  <a:t>[PERCENTAGE]</a:t>
                </a:fld>
                <a:endParaRPr lang="en-US" baseline="0">
                  <a:solidFill>
                    <a:schemeClr val="bg1"/>
                  </a:solidFill>
                </a:endParaRPr>
              </a:p>
            </c:rich>
          </c:tx>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15:dlblFieldTable/>
              <c15:showDataLabelsRange val="0"/>
            </c:ext>
          </c:extLst>
        </c:dLbl>
      </c:pivotFmt>
      <c:pivotFmt>
        <c:idx val="16"/>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25"/>
              <c:y val="-8.796296296296296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7"/>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8055555555555555"/>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8"/>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4444444444444443"/>
              <c:y val="1.388888888888880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19"/>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7499999999999999"/>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0"/>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4166666666666666"/>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1"/>
        <c:spPr>
          <a:solidFill>
            <a:schemeClr val="accent1"/>
          </a:solidFill>
          <a:ln>
            <a:noFill/>
          </a:ln>
          <a:effectLst/>
          <a:scene3d>
            <a:camera prst="orthographicFront"/>
            <a:lightRig rig="brightRoom" dir="t"/>
          </a:scene3d>
          <a:sp3d prstMaterial="flat">
            <a:bevelT w="50800" h="101600" prst="angle"/>
            <a:contourClr>
              <a:srgbClr val="000000"/>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2"/>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25"/>
              <c:y val="-8.796296296296296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3"/>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8055555555555555"/>
              <c:y val="-6.018518518518518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4"/>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4444444444444443"/>
              <c:y val="1.3888888888888805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5"/>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7499999999999999"/>
              <c:y val="-9.2592592592592587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26"/>
        <c:spPr>
          <a:solidFill>
            <a:schemeClr val="accent1"/>
          </a:solidFill>
          <a:ln>
            <a:noFill/>
          </a:ln>
          <a:effectLst/>
          <a:scene3d>
            <a:camera prst="orthographicFront"/>
            <a:lightRig rig="brightRoom" dir="t"/>
          </a:scene3d>
          <a:sp3d prstMaterial="flat">
            <a:bevelT w="50800" h="101600" prst="angle"/>
            <a:contourClr>
              <a:srgbClr val="000000"/>
            </a:contourClr>
          </a:sp3d>
        </c:spPr>
        <c:dLbl>
          <c:idx val="0"/>
          <c:layout>
            <c:manualLayout>
              <c:x val="-0.14166666666666666"/>
              <c:y val="0"/>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s>
    <c:plotArea>
      <c:layout>
        <c:manualLayout>
          <c:layoutTarget val="inner"/>
          <c:xMode val="edge"/>
          <c:yMode val="edge"/>
          <c:x val="0.19781545711694012"/>
          <c:y val="0.22444292135547833"/>
          <c:w val="0.36699085927142544"/>
          <c:h val="0.7265527537802714"/>
        </c:manualLayout>
      </c:layout>
      <c:doughnutChart>
        <c:varyColors val="1"/>
        <c:dLbls>
          <c:showLegendKey val="0"/>
          <c:showVal val="1"/>
          <c:showCatName val="0"/>
          <c:showSerName val="0"/>
          <c:showPercent val="0"/>
          <c:showBubbleSize val="0"/>
          <c:showLeaderLines val="0"/>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6th_sample(1).xlsm]Analysis!PivotTable4</c:name>
    <c:fmtId val="2"/>
  </c:pivotSource>
  <c:chart>
    <c:autoTitleDeleted val="1"/>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solidFill>
            <a:schemeClr val="accent1"/>
          </a:solidFill>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Analysis!$H$27</c:f>
              <c:strCache>
                <c:ptCount val="1"/>
                <c:pt idx="0">
                  <c:v>Total</c:v>
                </c:pt>
              </c:strCache>
            </c:strRef>
          </c:tx>
          <c:spPr>
            <a:ln w="28575" cap="rnd">
              <a:solidFill>
                <a:schemeClr val="accent1"/>
              </a:solidFill>
              <a:round/>
            </a:ln>
            <a:effectLst/>
          </c:spPr>
          <c:marker>
            <c:symbol val="none"/>
          </c:marker>
          <c:cat>
            <c:strRef>
              <c:f>Analysis!$G$28:$G$38</c:f>
              <c:strCache>
                <c:ptCount val="10"/>
                <c:pt idx="0">
                  <c:v>A1</c:v>
                </c:pt>
                <c:pt idx="1">
                  <c:v>A2</c:v>
                </c:pt>
                <c:pt idx="2">
                  <c:v>B2</c:v>
                </c:pt>
                <c:pt idx="3">
                  <c:v>Bsc</c:v>
                </c:pt>
                <c:pt idx="4">
                  <c:v>D1</c:v>
                </c:pt>
                <c:pt idx="5">
                  <c:v>Msc</c:v>
                </c:pt>
                <c:pt idx="6">
                  <c:v>None</c:v>
                </c:pt>
                <c:pt idx="7">
                  <c:v>Other</c:v>
                </c:pt>
                <c:pt idx="8">
                  <c:v>Phd</c:v>
                </c:pt>
                <c:pt idx="9">
                  <c:v>University</c:v>
                </c:pt>
              </c:strCache>
            </c:strRef>
          </c:cat>
          <c:val>
            <c:numRef>
              <c:f>Analysis!$H$28:$H$38</c:f>
              <c:numCache>
                <c:formatCode>General</c:formatCode>
                <c:ptCount val="10"/>
                <c:pt idx="0">
                  <c:v>1</c:v>
                </c:pt>
                <c:pt idx="1">
                  <c:v>28</c:v>
                </c:pt>
                <c:pt idx="2">
                  <c:v>13</c:v>
                </c:pt>
                <c:pt idx="3">
                  <c:v>3</c:v>
                </c:pt>
                <c:pt idx="4">
                  <c:v>2</c:v>
                </c:pt>
                <c:pt idx="5">
                  <c:v>1</c:v>
                </c:pt>
                <c:pt idx="6">
                  <c:v>1</c:v>
                </c:pt>
                <c:pt idx="7">
                  <c:v>1</c:v>
                </c:pt>
                <c:pt idx="8">
                  <c:v>2</c:v>
                </c:pt>
                <c:pt idx="9">
                  <c:v>6</c:v>
                </c:pt>
              </c:numCache>
            </c:numRef>
          </c:val>
          <c:smooth val="0"/>
          <c:extLst>
            <c:ext xmlns:c16="http://schemas.microsoft.com/office/drawing/2014/chart" uri="{C3380CC4-5D6E-409C-BE32-E72D297353CC}">
              <c16:uniqueId val="{00000000-A702-429E-B7A3-ACB7991162C7}"/>
            </c:ext>
          </c:extLst>
        </c:ser>
        <c:dLbls>
          <c:showLegendKey val="0"/>
          <c:showVal val="0"/>
          <c:showCatName val="0"/>
          <c:showSerName val="0"/>
          <c:showPercent val="0"/>
          <c:showBubbleSize val="0"/>
        </c:dLbls>
        <c:smooth val="0"/>
        <c:axId val="306877311"/>
        <c:axId val="1621756591"/>
      </c:lineChart>
      <c:catAx>
        <c:axId val="30687731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21756591"/>
        <c:crosses val="autoZero"/>
        <c:auto val="1"/>
        <c:lblAlgn val="ctr"/>
        <c:lblOffset val="100"/>
        <c:noMultiLvlLbl val="0"/>
      </c:catAx>
      <c:valAx>
        <c:axId val="162175659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687731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6th_sample(1).xlsm]Analysis!PivotTable5</c:name>
    <c:fmtId val="2"/>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Analysis!$K$27</c:f>
              <c:strCache>
                <c:ptCount val="1"/>
                <c:pt idx="0">
                  <c:v>Total</c:v>
                </c:pt>
              </c:strCache>
            </c:strRef>
          </c:tx>
          <c:spPr>
            <a:solidFill>
              <a:schemeClr val="accent1"/>
            </a:solidFill>
            <a:ln>
              <a:noFill/>
            </a:ln>
            <a:effectLst/>
          </c:spPr>
          <c:invertIfNegative val="0"/>
          <c:cat>
            <c:strRef>
              <c:f>Analysis!$J$28:$J$34</c:f>
              <c:strCache>
                <c:ptCount val="6"/>
                <c:pt idx="0">
                  <c:v>Casual</c:v>
                </c:pt>
                <c:pt idx="1">
                  <c:v>Contract</c:v>
                </c:pt>
                <c:pt idx="2">
                  <c:v>contractuelle</c:v>
                </c:pt>
                <c:pt idx="3">
                  <c:v>en attente</c:v>
                </c:pt>
                <c:pt idx="4">
                  <c:v>fonctionnaire</c:v>
                </c:pt>
                <c:pt idx="5">
                  <c:v>Permanent</c:v>
                </c:pt>
              </c:strCache>
            </c:strRef>
          </c:cat>
          <c:val>
            <c:numRef>
              <c:f>Analysis!$K$28:$K$34</c:f>
              <c:numCache>
                <c:formatCode>General</c:formatCode>
                <c:ptCount val="6"/>
                <c:pt idx="0">
                  <c:v>1</c:v>
                </c:pt>
                <c:pt idx="1">
                  <c:v>7</c:v>
                </c:pt>
                <c:pt idx="2">
                  <c:v>13</c:v>
                </c:pt>
                <c:pt idx="3">
                  <c:v>1</c:v>
                </c:pt>
                <c:pt idx="4">
                  <c:v>30</c:v>
                </c:pt>
                <c:pt idx="5">
                  <c:v>6</c:v>
                </c:pt>
              </c:numCache>
            </c:numRef>
          </c:val>
          <c:extLst>
            <c:ext xmlns:c16="http://schemas.microsoft.com/office/drawing/2014/chart" uri="{C3380CC4-5D6E-409C-BE32-E72D297353CC}">
              <c16:uniqueId val="{00000000-2A59-4F6E-8A5F-BA7E7C92C9F6}"/>
            </c:ext>
          </c:extLst>
        </c:ser>
        <c:dLbls>
          <c:showLegendKey val="0"/>
          <c:showVal val="0"/>
          <c:showCatName val="0"/>
          <c:showSerName val="0"/>
          <c:showPercent val="0"/>
          <c:showBubbleSize val="0"/>
        </c:dLbls>
        <c:gapWidth val="219"/>
        <c:overlap val="-27"/>
        <c:axId val="307739391"/>
        <c:axId val="297771183"/>
      </c:barChart>
      <c:catAx>
        <c:axId val="3077393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7771183"/>
        <c:crosses val="autoZero"/>
        <c:auto val="1"/>
        <c:lblAlgn val="ctr"/>
        <c:lblOffset val="100"/>
        <c:noMultiLvlLbl val="0"/>
      </c:catAx>
      <c:valAx>
        <c:axId val="297771183"/>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0773939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6th_sample(1).xlsm]Analysis!PivotTable2</c:name>
    <c:fmtId val="2"/>
  </c:pivotSource>
  <c:chart>
    <c:autoTitleDeleted val="1"/>
    <c:pivotFmts>
      <c:pivotFmt>
        <c:idx val="0"/>
      </c:pivotFmt>
      <c:pivotFmt>
        <c:idx val="1"/>
      </c:pivotFmt>
      <c:pivotFmt>
        <c:idx val="2"/>
      </c:pivotFmt>
      <c:pivotFmt>
        <c:idx val="3"/>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9.0082302063868774E-2"/>
              <c:y val="-7.2636022748801612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8.4452158184877085E-2"/>
              <c:y val="0.1452720454976032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2661268030071646"/>
              <c:y val="0.2136503638492758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dLbl>
          <c:idx val="0"/>
          <c:layout>
            <c:manualLayout>
              <c:x val="-0.13812292396441794"/>
              <c:y val="-1.8578292508632733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Analysis!$J$15</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extLst>
              <c:ext xmlns:c16="http://schemas.microsoft.com/office/drawing/2014/chart" uri="{C3380CC4-5D6E-409C-BE32-E72D297353CC}">
                <c16:uniqueId val="{00000005-E767-4584-9D42-4D8F89CC877F}"/>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c:spPr>
            <c:extLst>
              <c:ext xmlns:c16="http://schemas.microsoft.com/office/drawing/2014/chart" uri="{C3380CC4-5D6E-409C-BE32-E72D297353CC}">
                <c16:uniqueId val="{00000006-E767-4584-9D42-4D8F89CC877F}"/>
              </c:ext>
            </c:extLst>
          </c:dPt>
          <c:dLbls>
            <c:dLbl>
              <c:idx val="0"/>
              <c:layout>
                <c:manualLayout>
                  <c:x val="0.12661268030071646"/>
                  <c:y val="0.21365036384927583"/>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767-4584-9D42-4D8F89CC877F}"/>
                </c:ext>
              </c:extLst>
            </c:dLbl>
            <c:dLbl>
              <c:idx val="1"/>
              <c:layout>
                <c:manualLayout>
                  <c:x val="-0.13812292396441794"/>
                  <c:y val="-1.8578292508632733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E767-4584-9D42-4D8F89CC877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n-US"/>
              </a:p>
            </c:txPr>
            <c:showLegendKey val="0"/>
            <c:showVal val="1"/>
            <c:showCatName val="0"/>
            <c:showSerName val="0"/>
            <c:showPercent val="0"/>
            <c:showBubbleSize val="0"/>
            <c:showLeaderLines val="1"/>
            <c:leaderLines>
              <c:spPr>
                <a:ln w="9525">
                  <a:solidFill>
                    <a:schemeClr val="tx2">
                      <a:lumMod val="35000"/>
                      <a:lumOff val="65000"/>
                    </a:schemeClr>
                  </a:solidFill>
                </a:ln>
                <a:effectLst/>
              </c:spPr>
            </c:leaderLines>
            <c:extLst>
              <c:ext xmlns:c15="http://schemas.microsoft.com/office/drawing/2012/chart" uri="{CE6537A1-D6FC-4f65-9D91-7224C49458BB}"/>
            </c:extLst>
          </c:dLbls>
          <c:cat>
            <c:strRef>
              <c:f>Analysis!$I$16:$I$18</c:f>
              <c:strCache>
                <c:ptCount val="2"/>
                <c:pt idx="0">
                  <c:v>Male</c:v>
                </c:pt>
                <c:pt idx="1">
                  <c:v>Female</c:v>
                </c:pt>
              </c:strCache>
            </c:strRef>
          </c:cat>
          <c:val>
            <c:numRef>
              <c:f>Analysis!$J$16:$J$18</c:f>
              <c:numCache>
                <c:formatCode>General</c:formatCode>
                <c:ptCount val="2"/>
                <c:pt idx="0">
                  <c:v>35</c:v>
                </c:pt>
                <c:pt idx="1">
                  <c:v>23</c:v>
                </c:pt>
              </c:numCache>
            </c:numRef>
          </c:val>
          <c:extLst>
            <c:ext xmlns:c16="http://schemas.microsoft.com/office/drawing/2014/chart" uri="{C3380CC4-5D6E-409C-BE32-E72D297353CC}">
              <c16:uniqueId val="{00000004-E767-4584-9D42-4D8F89CC877F}"/>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ivotFmts>
      <c:pivotFmt>
        <c:idx val="0"/>
        <c:spPr>
          <a:solidFill>
            <a:schemeClr val="accent1"/>
          </a:solidFill>
          <a:ln w="19050">
            <a:solidFill>
              <a:schemeClr val="lt1"/>
            </a:solidFill>
          </a:ln>
          <a:effectLst/>
        </c:spPr>
        <c:marker>
          <c:symbol val="none"/>
        </c:marker>
      </c:pivotFmt>
      <c:pivotFmt>
        <c:idx val="1"/>
        <c:spPr>
          <a:solidFill>
            <a:schemeClr val="accent1"/>
          </a:solidFill>
          <a:ln w="19050">
            <a:solidFill>
              <a:schemeClr val="lt1"/>
            </a:solidFill>
          </a:ln>
          <a:effectLst/>
        </c:spPr>
        <c:marker>
          <c:symbol val="none"/>
        </c:marke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marker>
          <c:symbol val="none"/>
        </c:marker>
      </c:pivotFmt>
      <c:pivotFmt>
        <c:idx val="4"/>
        <c:spPr>
          <a:solidFill>
            <a:schemeClr val="accent1"/>
          </a:solidFill>
          <a:ln w="19050">
            <a:solidFill>
              <a:schemeClr val="lt1"/>
            </a:solidFill>
          </a:ln>
          <a:effectLst/>
        </c:spPr>
      </c:pivotFmt>
    </c:pivotFmts>
    <c:plotArea>
      <c:layout/>
      <c:doughnutChart>
        <c:varyColors val="1"/>
        <c:ser>
          <c:idx val="0"/>
          <c:order val="0"/>
          <c:tx>
            <c:v>Series1</c:v>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1DB-4AA9-8BB3-AF5213442C2F}"/>
              </c:ext>
            </c:extLst>
          </c:dPt>
          <c:cat>
            <c:numLit>
              <c:formatCode>General</c:formatCode>
              <c:ptCount val="1"/>
              <c:pt idx="0">
                <c:v>0</c:v>
              </c:pt>
            </c:numLit>
          </c:cat>
          <c:val>
            <c:numLit>
              <c:formatCode>General</c:formatCode>
              <c:ptCount val="1"/>
              <c:pt idx="0">
                <c:v>55</c:v>
              </c:pt>
            </c:numLit>
          </c:val>
          <c:extLst>
            <c:ext xmlns:c16="http://schemas.microsoft.com/office/drawing/2014/chart" uri="{C3380CC4-5D6E-409C-BE32-E72D297353CC}">
              <c16:uniqueId val="{00000002-71DB-4AA9-8BB3-AF5213442C2F}"/>
            </c:ext>
          </c:extLst>
        </c:ser>
        <c:dLbls>
          <c:showLegendKey val="0"/>
          <c:showVal val="0"/>
          <c:showCatName val="0"/>
          <c:showSerName val="0"/>
          <c:showPercent val="0"/>
          <c:showBubbleSize val="0"/>
          <c:showLeaderLines val="1"/>
        </c:dLbls>
        <c:firstSliceAng val="0"/>
        <c:holeSize val="75"/>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[Copy of 6th_sample(1).xlsm]Analysis!PivotTable3</c:name>
    <c:fmtId val="2"/>
  </c:pivotSource>
  <c:chart>
    <c:autoTitleDeleted val="1"/>
    <c:pivotFmts>
      <c:pivotFmt>
        <c:idx val="0"/>
      </c:pivotFmt>
      <c:pivotFmt>
        <c:idx val="1"/>
      </c:pivotFmt>
      <c:pivotFmt>
        <c:idx val="2"/>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6119909658145098"/>
          <c:y val="8.3121334492635132E-2"/>
          <c:w val="0.77509859609088205"/>
          <c:h val="0.78133802692809018"/>
        </c:manualLayout>
      </c:layout>
      <c:bar3DChart>
        <c:barDir val="bar"/>
        <c:grouping val="stacked"/>
        <c:varyColors val="0"/>
        <c:ser>
          <c:idx val="0"/>
          <c:order val="0"/>
          <c:tx>
            <c:strRef>
              <c:f>Analysis!$M$15</c:f>
              <c:strCache>
                <c:ptCount val="1"/>
                <c:pt idx="0">
                  <c:v>Total</c:v>
                </c:pt>
              </c:strCache>
            </c:strRef>
          </c:tx>
          <c:spPr>
            <a:solidFill>
              <a:schemeClr val="accent1"/>
            </a:solidFill>
            <a:ln>
              <a:noFill/>
            </a:ln>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Analysis!$L$16:$L$18</c:f>
              <c:strCache>
                <c:ptCount val="2"/>
                <c:pt idx="0">
                  <c:v>20-25</c:v>
                </c:pt>
                <c:pt idx="1">
                  <c:v>35-40</c:v>
                </c:pt>
              </c:strCache>
            </c:strRef>
          </c:cat>
          <c:val>
            <c:numRef>
              <c:f>Analysis!$M$16:$M$18</c:f>
              <c:numCache>
                <c:formatCode>General</c:formatCode>
                <c:ptCount val="2"/>
                <c:pt idx="0">
                  <c:v>57</c:v>
                </c:pt>
                <c:pt idx="1">
                  <c:v>1</c:v>
                </c:pt>
              </c:numCache>
            </c:numRef>
          </c:val>
          <c:extLst>
            <c:ext xmlns:c16="http://schemas.microsoft.com/office/drawing/2014/chart" uri="{C3380CC4-5D6E-409C-BE32-E72D297353CC}">
              <c16:uniqueId val="{00000000-92C5-4592-BC5D-A2EF606AE6F7}"/>
            </c:ext>
          </c:extLst>
        </c:ser>
        <c:dLbls>
          <c:showLegendKey val="0"/>
          <c:showVal val="1"/>
          <c:showCatName val="0"/>
          <c:showSerName val="0"/>
          <c:showPercent val="0"/>
          <c:showBubbleSize val="0"/>
        </c:dLbls>
        <c:gapWidth val="79"/>
        <c:shape val="box"/>
        <c:axId val="736615744"/>
        <c:axId val="751116256"/>
        <c:axId val="0"/>
      </c:bar3DChart>
      <c:catAx>
        <c:axId val="7366157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cap="all" spc="120" normalizeH="0" baseline="0">
                <a:solidFill>
                  <a:schemeClr val="tx1">
                    <a:lumMod val="65000"/>
                    <a:lumOff val="35000"/>
                  </a:schemeClr>
                </a:solidFill>
                <a:latin typeface="+mn-lt"/>
                <a:ea typeface="+mn-ea"/>
                <a:cs typeface="+mn-cs"/>
              </a:defRPr>
            </a:pPr>
            <a:endParaRPr lang="en-US"/>
          </a:p>
        </c:txPr>
        <c:crossAx val="751116256"/>
        <c:crosses val="autoZero"/>
        <c:auto val="1"/>
        <c:lblAlgn val="ctr"/>
        <c:lblOffset val="100"/>
        <c:noMultiLvlLbl val="0"/>
      </c:catAx>
      <c:valAx>
        <c:axId val="751116256"/>
        <c:scaling>
          <c:orientation val="minMax"/>
        </c:scaling>
        <c:delete val="1"/>
        <c:axPos val="b"/>
        <c:numFmt formatCode="General" sourceLinked="1"/>
        <c:majorTickMark val="none"/>
        <c:minorTickMark val="none"/>
        <c:tickLblPos val="nextTo"/>
        <c:crossAx val="73661574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data id="1">
      <cx:strDim type="cat">
        <cx:f>_xlchart.v5.1</cx:f>
        <cx:nf>_xlchart.v5.0</cx:nf>
      </cx:strDim>
      <cx:numDim type="colorVal">
        <cx:f>_xlchart.v5.5</cx:f>
        <cx:nf>_xlchart.v5.4</cx:nf>
      </cx:numDim>
    </cx:data>
  </cx:chartData>
  <cx:chart>
    <cx:plotArea>
      <cx:plotAreaRegion>
        <cx:series layoutId="regionMap" uniqueId="{70ED6FFC-2784-49BC-854A-5CEC67D591BB}" formatIdx="0">
          <cx:dataId val="0"/>
          <cx:layoutPr>
            <cx:geography cultureLanguage="en-US" cultureRegion="GB" attribution="Powered by Bing">
              <cx:geoCache provider="{E9337A44-BEBE-4D9F-B70C-5C5E7DAFC167}">
                <cx:binary>5Hvpctw4tuarVPj3pQrEjo6ujhiSuWmX5f0PQ5ZkcAcIgOsbzXPMi82RZFdZtqu6q6Jn4vZMRnhJ
gcwEcYBzvuXo77fz326b+xv309w2nf/b7fzLiyIE+7eff/a3xX1744/a8tYZbz6Fo1vT/mw+fSpv
73++czdT2emfMYrpz7fFjQv384t//B0+Td+bU3N7E0rTXQ33bnl574cm+D8Y++HQTzd3bdllpQ+u
vA3xLy9e3RRmuHnx030XyrC8Wuz9Ly+eXfPip5+//aTvvvWnBiYWhju4N6ZHUiqFcUzU0+vFT43p
9OdhdoQ5jqmU7POo+vLV5zct3P40nZ9e3mt40C9DP5rV45xu7u7cvffwUI//fnf7swf5bvTWDF14
WMmH7/rlxXmp792Ln0pv0qeB1Dw80PnmcQV+fh6Df/z9mx/Amnzzk6/C9O0C/rOh76L0P/TN3f36
R+vxJ6OkjjjnjHBCnoUnRkeMUsKl+C16TzvjKTxP8/jL4fnm9m/C883of1B4svLTp3/nGWJHXMAh
ieNvokOOYkEYJ+rL6fmyI56i8ziNvxyc53d/E5vng/9JoTHemy/L9KNE8icPDjnCIkYK0/jZwSFH
DHEulYDc9/iSX77zc2gepvHXQ/Ps7m9D82zwPyg0r8qmufl478ovS/VvCA89olhBWsPsWXjwEaGE
cAgRenpB9L7Oa09T+V//05V/OUY/+IhvAvWDK/6DonV2427u/p2hIkdwUDBmHP8akq+AgjgiRDIm
MP1xxJ6m85ej9c3t30Tqm9H/xlH68dS+BnPPrvizYE4cPdQbjJ6fJnVEMJGUfI4MQt+cps9I6vdn
8WPw9vm2ZxP+7w3LPpTd3QNm/PpJn22lP7ve7CjmGHMqf3gm1JHiEikixeeV51+++qnIPE3nL5+J
b25/9iC/vPhm9P9mlH4fWP/KRLKbcLN5pDBfYes/Hv0Cyr+59Y+C+RTnwx3QHB5LAiBAfBXhhw96
XlUeudU38fjm7vsbH355wY8EZkQoReFcCQ5H7sVP0/3DCDmSXHGuVEwxZRwxOIqdcaGAOcgj2A4P
m4HxmGFC6YufvBkeh8gRp1RQxWlMY0mZ+JVFXppm0ab7dW0+v/+pG9pLU3bBwwcz9OIn+3Tdw3QF
QYojggT8zQCYKgobz97evASq+nD5fzX1WhVzW++rpqBotwjJXbK0ZtBpZRbs08m4SmYRias9Hz3G
ab5U6854RnBWkSnmZ3bt1mOtK0YTjhodbbpe9rvA6ilDRUWilOViuG7l0JAkpn5pt0gZuctj3emk
ZnM5pKvOY5NGeePHtKS692deF925UkvhP43WdedumPTW95wXL81Kp/o2r8alSdrSLjLl5azk+zEm
pEpHzdCSsFqW7CL0LgidybZmr4ow82qT16ufdjnHRXdCcjPUWR3ldRwSi+NJ7YUpRp4NYUHNh7rh
a/cyrHlOrobQoI3pna8PQ+W5PbGxFMOexxEXeebGFdsLiL/yZ0seOnYzTGwabUKY0uHC+H4JiSw4
/TBUxDWHCnc2T/0a5fiDGT2rEtHXBMHHkXl5OQXXF6mkY4w+8kar+NBO1fIJMdS256avp0/WCE43
qibDkri5WPi+JZPIeN1HYWv92tTHeTxZukE+n6Yonca17kTKmn401YY0I6d3eRxRxrK1aaU9hZ3H
XBIV7bu8sCLeSEO6NsFIDbflMutXXjai6bOHrdKcF7lz/tLnyE1J46SSV2uFBpKwkvXXxPftbg66
alKhdWDHM1qKJuti92GFRRn3VTuot0vfMnfCy7FSb6u5onhfFa0ILsnpWuxqGfevxcxE9YbnpUjV
0Lt6G+WDn07MrGL2HokalRAmE1UH3Hl8zJDuI52U7WA/RCLyx7yzq9+XuGiGTafIcFiCiuLLCnHR
ZIWn4yUFDh0lvBR6vHZotnESNQ0mO1ViMS2JKGLbJ1FVKZ2psl3mRBcuF0lZtn7deNJKdybFLNwW
V12/blZf1G0aeFvZU+8nXG2X1S7iNMSNXQ5GO9ryDRG5XbdfixLPjvStsYsrdfFZG/r17T8u7H13
Hdz9fTi7sY9ixW9jz9/+pmU8pLRfhY1vEuWTAvU7WfQPB5+l2GeF5Es9e0ySAtjvr9rTd8n1Gcj4
9fqndBozwJYgcCjBFZYPfO1LOkVQYKWCdCqlxMAUxAN2+ZxPMZC4WMRCUaliwgSFJPwln8ZHHGgF
8D4iuECwX/9MPhUPSftZPo2V5EhyhhSijLAHfPV1Pi1dv5S6N5tcN3g8aavVkNShtW7SqXfsDtBX
VaV+yJHYR3YZ+xTSQ0DHpDV5tCMxide0qMelvswjNTbHOSeM3hVyKfvLSZLoHFXFWu/yynZrRqc+
f9tYKadk5nN3y+ZQfPRzJc9U6GKZDKyxRcp9T44H5Iz+OOHY6tMIx+uxxMHsMOL5tunyUZwsqEPN
No9bNE+Zap1Y2UahulKHxVHrzpbgRr9nID++dp3jI5z93EGS+Gr3M90V66enfc/HJU5wXVd2Lysu
qo0Fhq03kIOjac2+LjY9YyO67/pG9d12UM1IZdINRgqTrFOn6L5dRCCbUOVz/kEGvJikYQsh59wM
JE7zcah4mbS8qHmyjo6QREQsvxsGM7zt6wXOcr/kXZ8sskPbYRxHqGlcji8Xoac6Rf1CdYaGqbis
B8+6jAwRJERDS5fNuO9dYocyz7OA0GDT3Pg4c5XFL62DOha0pic5R3mZhqV5t8QREYmJVHUelkii
lCy8vTUjrac0zF1xrbwlSTvXCiWTw2PWUlZ9aIm2VTI1aiiz2JRtniDr3CHvo75Na4WLOS0WxLsk
Njk9r5vC26xUhMQZrYb38TQFn45yvfC4mDb1EuZdaTDZugLzl6Wl9hZota8T109lnNRx924JcbFf
4Xx1WTuL9Q3UAHbXsVrFaVdM3GxKiaJmS6iOhzSu8noj4wJft2QY0ZRExqz5fsIa1opPeagzQpg2
r5oxEJsB6xPDB927uT5ttZnkaUeDnC1sRb6QfLdq7snNVHWtihMUK7+e27Wol60DiV2nrgRZ8zzC
a9w8nIvabJGn5tW6sOqE9k5lrOano5nPVhU+DcZ2ibKDSZa8b5KiKQ96bJa0i/IycSUbMtSrsJnl
cNr4CSWuaLqPFXOvFufcRmqNssEipZNZyNvJ2T4jM9aJ6iuTxOPI9vW0yq1j805j65KiaKB86XlN
bRG9AUDwpqY52Rka/Had6jppFtvsUD+czlZl8VTW2wDPvF8au8NevMkR2Ziu3HspogTIs0rqJa6S
CLl5U6/ozs/du3XhH3venJSGb9aZ6y2dqLxfG3oXNWtSyfwyWlZ83TkkUjqtPilNDWc/bze5xTgj
i6rSBYp01kziTqPSJ3zJ46TAk874jLKa2X4nh/hi7ecqLfLIp2b2OlnDVH4cId4nc652vNWnyvew
aSaG33ZGvw1GHyulP9BeXE8VLdKpbD4oFvKsp63Mxmg4t6LS723RXmEsD2s1kn0VVy5tBne8isam
wUYXusj3Vd68LXRUJa1euyxWaEo9RvnrOm75S2/ta2an91EbLqa1TmsfTlClmz0zw9mcm/Y1ZPU+
lVD6P/EqjrZmMjrFJYNkMYt5OZ4sf1lN65A042g2hZ554nQPQKUZxtQ1FG/w2s5VUnbMJyNay8Ty
cU3zecSps025ldygpMODBUAcPpDSjduK8TtZufqsX1Fz3il3qbtxyuIR8EOcc3Xq3QgrInCTLMzL
c9Rxl9qBvXQ+fttMaFsZghJV0PoqqLCvKhwSYtjBI7Wp5vw9AMOPneqb1FYKZQ2d34Y5D5AnXL7V
K2IbTnxx1pV12tch3wCTqPZ6BHgZMZINrnfHzHoKq0DOSKncie5xdTyIqAYQg+2G1+OJrP21GPyl
jSpIIbYsskGst4zIl23M+mM+Nm43ield0+j22hkyp80099mEAPWVAeN9nIc9jsf5XLqGZFqUOrEI
ZSXpT8NMNwG3ZuPrqHpfTmTnqP7YTgN9NU70oml9ZsJgTIJhm1Z9rPZtUcqsCKPds8m99vNw13Jz
VtflSWeXCtL18KY15L2XkUwh2UTnc1hEAluuSUNkr5qSzUmJ59cBzfMW0fgYTeuZeUj0U7MTQ47T
2C/pWnORFHCikkbku5LSXT3EZs8Lvw1mHFNKzM4wlTVLBLuzjy7HYbwzqD1edH9O4v7gVxQdxo5e
QX5rz8UKzxxkKJOqxDxhzN4t3fyaoe4T9ssxp8Vm6a3OZmNOx3JROxcvzXbtoqsGjToRysFZn6ND
29NjO/rwsRinjc3bOW3NpNMYsyqlTSPSYu1vjVku20aaVNtwKzRdMlmU3Ql1ZZTIqTdJ8HhbI/1y
HRTJhOdZO6q7aF4vQmjolanYMZ/E2RrLanWJzGXb7aG012Wf5LiBdNchFvpPKKD6VTCwGZNeNwbR
pBoRREBNhG6JWasmMQJF5naO50ChpAjiU1WENX5Di3bZ5loE4E5FjGFPbb0J/XwriFt9mTQBx67b
rHFr14RoQQabqVWWD3Vsko0Ur+RQ19NpaHvA8CpuI5Z2YWAlv8KyNarfoggqjvmE40GY9tBDysDr
ZmhUwVGa+2qM07LQU5VVMFkPyAkD6j4p40mvHyjqwyw2uetmGe9mVKsG70gXTaza5cTgudv5EOZo
V2jf7ZWjI34NwcNmPF90hI6Bs6jLeennK+9L9LFHcI4yC7UCp4AfWDFfO8Fqw/YiKjhO2nYk2971
q2Zv66lreEp0PcdF0lHYQ1cNhnMYbUxEJhQOtDLa93C6BYs2fK2AMGQRolYD+VowQZk05jWK26mJ
LkrkSh8fBlmj93PXTGPIiirIdIXCx3C3BpMtA6X9fFpVk2xTkpd9QV/imOdZWbJ2Tuo60n21s03N
dAFxmPwOq2qti5SouBmyJiduOWsxGnrsk7hhbZ81rRUSlpesHSPJ14yQ1S1h6T9hg0u7LCL9ighq
JX35/oECBigE5etYeyOu57gK+iAxteZjCUJHtQEIdemiAdQG4NM5MKvcBX1W+IiYrFVunASUnXUq
2jqpClt0486PoV8hFTQ68KRzLB/uxwkt5eVUyzm8C6ad20M+ojnPih5gWTrPsOiUlmWdRaaZ11dS
M8q3o4+m6mKVpFnkpnROim2Y1Jh05ZgDH53aqksqMVbz267F/mXeMi0S7XnsNry3DU7KUfX0vBjn
wiRls5TTrpsbZJOgquCPSRPxfa6aXuyKHFUIjjeNswIIY7uJWgUFdI1V2yVjrup0KgDRZHDS2zaz
REWhTiKOlfZJ3/nQt1XCTFwsF27RndjmqK2bQ2w7TN8UUxjypJucqTPbrl5tZlEYA4s2yjrRZO2T
yZQN5Nc1hNRF3L0DJaxM8FxUiZd1c9wG7LcDW8LOzXZ9i3Ni3w9NNQBWI6ZxqtzMnuHdVFd5l+SR
9pmd2yEjxRwOqvIsBXYQnc5KmAPnNT2tx2Har3SeDpEX/UvTQLZjSzSwBChyFmC5j/m6itN1lngv
GlYcIwlpC54y2qjCy0w4XhaJyX29530OdWzV9YlshjYVoBVtScnNK99EIfVINqk0lp5Fo4WWhkoM
x1URVW+qWaDTaNDuU7f0gBIFYPz7Jkf8k7PrXCdI4OijHIa2STCc8vOZN9UmbjEDtFUPmdGyj7ex
kQPgnhJvC9FW214xeSvL2qqEz7lOqtxdcQI4q4nbj1BWPlrJZQJNHnkamV5e9jGvPwJlLTbWRSHp
TV3t59kUNPVQKg+uRPOWFcvHyLDp4Op22TOnqjIto1Wn0TBXm1JDXox0zQ9aUrRd+lGmA+7eQdVp
UrrM9h1dRg2SUDSlrc2LNxa1cyabcKIGHzLSoCoJtQV2IgYeb9UA6SbpRjK+VT53mVtKkRXAoFK5
cLqf+3DvZQ96GyvM1TT1l203tqe6hF2/TkSktYRSXq9NlcatqIGPtQpneOrpaxDzXucTLQ4VotFG
tnxLtehgGUe+0RbFx7FWS1L1ZXnbugceK1pz1nZxncRDXGV15ZvrXjugjhOdk4mO9i08CSDURQ3j
zrTjAkSy4geRx+v51Hp7GHIn4MHHeUfwMmfwJKH+CxLL2Zeenud6yqNG8pvY8t9UiHmm9z8TYp60
bgyi8O/LMd80b3ynlD/c/c/EGQrNQZxCbwNkck5RTEBd/xe0GXZEYkXBTOSg3GCK8Z/RZuIYVJ6v
tZkHUSjmIMLDVKhQ4lutu3VmqrVxxyZvF/Km9WT2N440PR22Cugxua0oW+XFPHCzfBxxX7wB1dYs
fqcBNbqUrWYl0W6djBnSTkwkX1I1uzHeCVbiEF81teIDPg4aRZVKykH0uduaeEbHsGdrPuyxleWg
My+XXLpkGqZFittitGVFrvp2jIc9HNfeRjbRtVr1kvwfwkKxzBeDdtSu0UK2bcmUj64YwE8PXwn4
bd4byFJ70TKAK+9URT2m+xWhxUQXpKhUMQCWeIQ4MxQdJQBso3rtXy4Em7TltI3aHyIcqbACyDbk
UGrVdtCtY/5QDmREZQIAbpHt4TOgKeuojS77lhSr3+gOo6A/Q5ohlkvl9mQmzrzSY9VvGxHyB046
z7i5e45lAEdBhtogymMQwtecoXhjEUhBx6Wo87AdGgeZr2oXBfnwQVtnWiH/JqxGxgeJxII+jo96
PHvU5vmjTt89avbuUb9Haq3zu+5R4gdOD3J/eNL+Le84cmnNnXTlPs/7sq+SmKNhOPGPnkL15C88
eg380Xcwjx5E9WRI4Ed3osWVBqdiFYLd+ic3Q9iuL24sHLGRJxIsGb1m/89Iyv80k8GR//1M9oM2
je+zGXzCUzaDnMUYA0GZUEmpEghy1pNz90dSMwjU4OqBegZuGmGAHkGg/k1qVgjMQAV/wNOTnPyZ
dEbot9YdiN+I4FhI/DA5eD2XmoP3VV50JPuX8RiVFTrugIGe/IbHZtnVL2c/1oAKSHX4q6CsxIAG
4wGL7I9BmZC5fbVwtFy1KBrvn0AZnoEhJC2w38+orDTGfURzZdqE+rZ+H/MQNl8BMjD0pusVZN7v
AFlbe5AlZGe2Ki/cA8n/WLQ8JBQVT4jMVcu0BU0IR8kSh3DFSlRczcz7E9Q2o3kgoZKnbT2wsJ1W
AlzDC3SCm7jchbjO96Nt8U289vWNW0z9eq1mdg68pr9FflRvJ1yoV3NcS31Y41l8UqQIIEu2HRp2
rhqHJrEgTIpXgxWRSdBqGnMJhBSDVv+QQlNgkQJ0Q9Drun1d5/6lVMPkkmayq95ITCxPeK3mvbdg
L2zWTgJhBKF0znoQqXUmqIjuXdOYOOUg54+gdPd9AshuOthZNx+olg0gdyZ7DtpeAL3LVC3FaSEG
UV3IiNtuw6MIZZbH+NKpYhzemSW35XsQtgJLopXDjNNiWESRPDD9KhUUtdeGzl19yJcJmAQbvU38
BLThnNiFRVnn4zCchLVhEkTaEc8fyqke4Yk7UL5Bs2S9hVJocb+PH309++jxaWXCdGLJ4OvtQsC+
lI+OYPNgDkaPNuGTZVg/+ofi0UtcH33FmQKB3TVzV61Z32l69UQ1UWExOTYWeOeGWGl3ZTfY+EG4
/8w6gYkqPCTgzRYeFumBfDahFfs60I4kBs0YjF02D+aVFfNQtp8E6et8i4xswXEuKOv7t20V+PSZ
ly6rA5MAdCu3gAljaWH3C8j3YyIsZkv6NVO1nSnI1oCC+eaJrvYgNB0i6Cookn+FswZZ26ug17pN
Bld0Z4/stUa93hdcRUWigo/Sdjbi/InMrr2uBqC0Zm1TR3jUbR6JLVj0sHudcCdOL3rfjbaQyQT2
yuFrmguhDXtwp32mdW4OugEGjUCjWjLILHORgMVe1UAYTUsT+LoYYvxAgGmNJw4qpZRlQnIavR2K
Nh4T8J602Yw1e/i/5eZQL6QqEjstRZ8IACPQiNAU8fFXFDkvydQCvMrL82VwIg1FXrXJGLXj5VJW
QidFt45JD2YsUGdd7kRlojPFRu12HWpBnHWCWLdbw+jyq7aOBqP2nanR1O9ciW18aqdoNhsTd2WZ
UawfJrLmfE3oKqVJIuqiOvWiGC941U3ngy3smKB2pZ9yUbYm+5qI+2aNTl0+wRJhkP1ApX6k5Guk
9pw4eTY1NtqA5dunFoyxD6JZlnRpgz9tu7VJVbQWySNT71hE3z/y89ZQei0EIoeBDtF2pKI//wFJ
/69ZNtpBYtpg14I33pO4uxRlZUKCm6W+1gyDlqlVu+ygw6F4tTLJL9xMzaXwWB3PK9NDpkO7vJ57
PmV6GeOP0TyZzcBnf0GMaO6oH8KpK7TcQZwiMJfGLmx5LMaD8F1/zfQsDkM/mTcuQmGPxFTsZcfC
PeiVeFcYbtOKxi1orUS8m8FRet1wnj9cN2xH4IQXSKI8XfKcX4wNaU44mtgJImM4iQo/XIeWo3sU
pL0kEVo/2DD4LRD5Iq2KKU/kWs+HHC3tKbTX6GMO/skdN3a+KDnVXeY9pRtY62lM1wZXU/L/D4IC
1/z3EdTzZvHvwdNDu+Bj2xPAIMaA7SkODI5JhKBr+gk8wS8iQCMLwCpw4hGmgIh+pYLQ9oRiBnwv
hk4kGCDP2p4QYzEwQUxiaFeK/wx0Anz0nAkS6JaBX4VAAloFwPRHEubwtUuPO2ci2YtT6BnYdQUT
ryNozE/JrF7my8GxWm/qgBYoTiAaRtE67R/NtJHlDIwPYe1GRmhOOo+AOdagXUKi7tNo8sW2aJs4
qWLTg7hj1h0acHta1Ww8cYYfP/hp1RpfRLU5o9ADBHptnYQYFKq12Qc73j34arNq7Y7IwC/myEfH
k6I0VVZ3G1sX5QbU68y0YAb6uU7B+p6Paauj4wDK2MEIq7cO2oJ2JDC1LSzUt0dzDZqeYvACW17v
xg74kIIOgGtDPNStchTqwnTDtOXdQq+EhLYtryQQLGKKt2gR5Mk8Ax0NJKlFDBpmP+Z7akqcPhpl
cxDRVQlY+hw1VXf1aI7lc+UeEFhxKsHP2D36Yq1F15XtxUbH4ORaMMjAyk4Ujvrtuk7sbcMXtZkG
Zc9QKdnr1VF+6ntZbHMB1XqZOUuD8fgVGWhRgpDHp22kKIivIXInS9+RQw1EMa2rzma8W6vN3Of9
vu193iSqi5abuhT41MEipUR6feUU0ifQNqFTrbXIVj0u9wIU/U/PvKumGPrj3i/TZU3ncIeKHGRU
qkFGFfh1sKbauxypY6gl4r5Ra7RZ2OBOsOPQW6Cm9WXehGs89GumoPEKnqzozyMXuXSYFwbtaKLb
UzqV50KLCwyZnAWR+rjY+mrZhaI+PHhMSjUAYs2ytUL7i0dfqRwxPZmQTrRBGdjM/Q3oKNCDtQqU
/WYlKQrGZFQt6t08Up0iECGO5eCGXZVfD2UP9vEIYZqihZ+sE3T3QZfao1XkpA1T2uX5Ql4ZDsna
GEZ02g5Tiy6/s45KaHW56lRHm/00MPzKLBN4cVE8sCvFQQRKvzOVpqJcypNFt+gqFH2tM6JxB25I
WO6+85hGW0dLskbx0t6zKZ/rj2ZUNabJM7upt+XSX4u17kucPJlOa9TJqYPFROWv1hMc0EqNm2bw
BMM+hMV7GfUEWMbsubbbRzOqyOvOnroZT2oDGutiLhE3D4YnAj7PP4wz9PHegikmzbYpY9FeBsDf
pbgrJ2iD2wdHwIi9invdD3a7LsIsmS9QJ8c9dLQIUH147Zh91c/LDKgf8mcbVFb7KpRjUluqB38x
iMZUfQKQqhhsMsOuBstjGpkvDznITSzpZCxo4ngFjQ7QXjZ026mCXqQUnMx414qe9hvoMVlChiPo
5HPQUolKuilzH4Y6UU2Y3KEo4w56IqB5ZIJujqWonU3pzB6Wwvxvcs6lO05ci8K/iCxeQjDpAVDl
Kjt2HMc3D09YeXQDAsQbhH793VLZSdllu13JoNOrR1lJPUWorXP2+bbqZLWYAS9im2MKnIazMIzx
yvAbwb/wzrH8cxsTG+niJ6NoDmm6onvrN7lBz5LUn5cihBGYWJvApqlY72iOBT1Jcb7YFbyiamRn
CuCQ5WLFbQ8GCmhqgOGq12wbMomokHxBwe0U10bvLQbGFjSPW4Mup+lg8dORFOa5JjSYyfNtYFb1
24FXxjpY2iibrPkm9YosdrPBDx1rmOJiqMQKpMy4WqT0ThjPgLE29bimU0HR4Uki/9cbSYe5asCX
eGIY1YK3+M/UBBY8jGdqgnsppYOaQL34zlDxsL0rM9exA99xgNrd1gT2K/gk1Ax8imoBDLKN19za
w0idKsQN5QKB/7uLNf7wU34B3bMO0D2g0ASoNrE8y/QIGOv7RcEz6F4FGMtbH1J7HHNoccLrNvAf
ofaMXgx5DGzNyoErK2AvwSAkNmWb15sgEXyILIHa9Tyh5pzeNHlLqnAQM6yKphvhjIJZNfqtNXOI
iPDrYHWL51l1WtVn/SSDL2mloNVeA6xUw6xEg625YlwLjbtKjb7WioJlGoiFHJj9Rop6OG1RP994
O3rWUSTtpKHatEjMdqOq+CZMuGfUAIrI6IdBnUhxQ7Cb+KhxUIWfSfBzRozpXjZeBHXThBU1UhbW
RVEVW7jB1TuYuwsDuJHBMpA2OuA6CpIKZkKdzzz/1GuToVV+gwdfCCMgr+arErYAe1O7UNNIaKPC
rjhMixozPB4i+lvcjLMJrLegaM601eFkHYftoRyQRpshaV6KGPebbcZAbZi9oso5AQcKE4UMzQJD
pfanLuwwpr8idmlUm07bL3Y5gD2SPIVAS23RDNquqbV102obJxXJMp5kDSb020U5PbM2fdzc8q/R
GgYfClOMN7h+wWWrfKKs9NnnUXlHAlT2xlJ+Uq6cpUl5TOMgvWFdaetJahsqsFh/5mpvSrlU2E5g
WLXKu9IjRcAZr/Pc5O9TPkj6wQcqB1Dad0F7GAP3RTgW1IkKM/O/TIHo/Wig1Fpnlmn78W76xxrA
QLGe91WY/p+BIm0+6Dmf7X0jgweQzlzGcVWWoDRKkoCVrD2Zb+D5+DJsxqTPItcUKCJKyvxLp6EO
Xxtdw1a8tLZqxvkZ9WVzVSQ+WZdeIC94SlDG/eR87l86ebMggU8r64Ow2qG0qiiqbrd8hLvtAAKG
dD7uYN/+Lq0eUq0UeouSntqItdg/qGj0aMqihsFtA3yGUYcu6E5abRXh860AgDNMbIjyMf0W5PNh
v+W50G9IKkIFjgd34r60Lr2kvhs0G3sItnlfsuQez0vkIKaIlhUXqx3VC8oOXphszeQzKge/NqNy
Adw7hYsYzGS7Y3IREakWdBNjztZ525XfSgP0QzxiaNKhP+LWFcFw6tqkWZ++XprAHWJYnsNnNzMW
/13hlQ5G1+B1xMekByETNshEMNS6GTfhLvWGH07EZs0lOM0Wsj2LaloPCzqNjZlV1RvhuPm6qsrc
iEULkOKCuQ37lJiNbKJlKSxws02aRVVCBriiA6CTrYWhlh31eVq7qDLALIfMHTL/Ixreyo9MD7Oc
rVEY6HTQwA0XQzUa3TrtO2q8K5BfQKHc91LEYyZsL0pJX6RvLJZWCVoNZym+YV2LjCimi/MKeuQF
a+5mZsFDwNB+cj00gYOZkexT5GQ8nlH/00gH4UcVCQRQL4eNxVefu2525TCM/zuVwclaknR/oV6u
LlpQfP15olM6i07sMJ3eCXSSpzd7/8TU+Z5SZ33guI3vpE4AZbMB2lnFghYjM5JVag+uGwZespwa
vSO9c67zRIGKFsE/RspIFYkb6D9IQRBXVh/lM2Il0WOw+DDXELNQjl5vrLIlSH9i/P8vlRf72ZzF
g9zfgbyoV9+6OfYr07RhN6NCo5jRqqHWzs1BmBe/ayeg+AONZaCGUHeVG32FPBlqCbg8yKrh7t2X
F5gvLoA50ADa6TlKXtyHoQsT5YHp+bAoHRPhVfowdDEnHXh5NLcaVMeOiO4pQxYvC9E3O83KAm3z
MRjH1o+YKcCp21NX0Hf7zHpVEQtj7VtcfbDyJE4D1fHM+OVOYL462OmhlxDQVdXQJSs36xq4+7Kt
0TrNgohkU6ZNh6YK3A06rFYMM9qt1nSYu0KwiaIRA+CLrmwse9Ku2kZYJ2kgXQJkR/Vwve7nMHhG
b1el2QxKyitg3k9TX75vLNv/a9m1ggavGBrDadcmdjC/0TSWuxZymc0GDSXUU7WXVPeazBGI3jlA
cjrUXsx1vQ2DscLStVLWU3zBBWaWrcKGRSjQtQFeyDhsrjJ0AyTI4Be1fmeJdWG1rnVuW4LDfxc8
H0E+MGMBBmFMEx+j2i0nc9N2IHvaqIMj453XNcIMkV8BWetPOidI39tOP02hw0lTvy00b5FJz7C/
4l5Cscd6e6nmyGV5GqBV5Y4ZTcUy2pe0G4s+rDt/ct5PO22jczCvLGiQjKTWP6Di0ELDVbo4aI1k
9QgoiGntNDqlo4I1gDJYPg0XiVZaqVUXICD3IyNALfNx1MqMJBZUGhQqFNvV6l1qJYfHlkVC63ug
tT5Xsj/rHaDUuwGA1Hwt1RbR691C6p2D6V2EQpGby7azEz+svb4CGJ67DkNCwEWEoPFJLj52xLfr
0NG7VK82rBbBkiGWeh8LCCaMudrcKpNhnyNmO3Vxm/nFt1q0GVvzwXRPFox90MFS3KNvRDciLVcZ
M81iMRcJBsZZAu+/mo1504JBMSO7hMETuyU8lTGa3MX6Wsm0/Wqk3bC8bksg1Ve7gEjdplPH/0Od
MQqdp+u3ixwnHy0QUR1f3o8H42U7ZbUBRiH+C41EZ6JO5rkTVguJcBPsE2JRAJZwXgzE+E5YVQSY
qv7ZRtLM8i28213d5rxC8Qev2vEIoAWkbY4SVlU27hNTsNo9jxKEfl0EijyqsK19n/z7DGkiDYIm
TVHJeElpDevbt0HCE68Ju+UDy69I2b+hHn6gkwtsCOI0Flfu3K3hFa+pzc6ZM2ydEhHP3MndECx0
GZbIGI+1cdpJc5WUl2Cz4pIEQwieEzThCCOmDboinu12umC5BDYFGzWEglavF3i4LVyrjTV/Q6E3
Y96MGStu3h5uZt0DouztFaN9us5Li0SYWLrrLJjpKUvm8yzLPvMc1aKAUYyyeDhrE0LOxEjRC0I9
13YlxQrbITK6LlEmPWQ8y5CHkLSOMCLrI4tiRuXWdIlLAwTtooZXSbDY+K04b6U/XJluIWKS0zls
5bxFnKeJiDPDU0+GVdvK6ryteLNKSHWZtiaYiXoYNtnEYIdl6dv8xpsGGgNColtkUt8DVEpe56Oc
ttXC1sRKzJWk040FamI70+RTGgzzpTNy/4SoiRwHQYY0hQcjS43qmIM0YqbGd1ZqzbHRY6RH7L7/
ID0MLkgxmogSLcMKgepLAsD2pFdDwBpoWMQdRMoS2WXX/pw02KZIjt3IFBHvMzd0iqQ8ZW1GN4D9
4Z85GBz0SFcgbIJx6BCUZ64zBSEb+beE23xNenuCwczzS7B2F8eba/8sonl7ksGjSdrviXz1qI7i
X9erZ480eOpJ+5ncw+fcS9/+LSr1cNCn30+fsfDc++ydB3fEWVbQyL0LdPjND0PFP/ece9/86/4p
cPdUmD6si59Y+4N32Fv7y49P+UeW/rf/+ajF7+1bT1yAB++zdwHclx/H9HtegYfM89FX4IiD9n7L
K3Dg6h99BY44Me23vAIH7fHRV+D4U31+ywtxYEMefSGOP/Lr97wQKHDxxXYngn7frY/ZFI8/JPWl
F+IFG+j3QiPKUMDqEiP/s3/s3KSnnnC39sPH97sY7J/3nqiO99t99q7VUX//497eobf/vQfvygH9
Obcvv13g4Uff+6y7Vd394yb/s/vcfc0W/cBy+zV3x2Y934C94Fzc59780QNt95s83Es/Vvz02bvP
fcaLJgC/uA4AwgcHWO4vAy3pry7jRRGiX12GOqn16RO51NzjV5fx4vzALy7lRcbss5/x2E/pewl+
+AO7K78fe9l99VDP0Mdf//F/AAAA//8=</cx:binary>
              </cx:geoCache>
            </cx:geography>
          </cx:layoutPr>
        </cx:series>
        <cx:series layoutId="regionMap" hidden="1" uniqueId="{FCC9772C-4DBF-4116-B4A0-E8566FF82683}" formatIdx="1">
          <cx:dataId val="1"/>
          <cx:layoutPr>
            <cx:geography cultureLanguage="en-US" cultureRegion="GB" attribution="Powered by Bing">
              <cx:geoCache provider="{E9337A44-BEBE-4D9F-B70C-5C5E7DAFC167}">
                <cx:binary>5JvZcuQ4sqZfpSyvD1UgFgJo62qzIRmL9iX3vKEpJSVJECRIANzwRuc55sXGQ8qsSqmyaqx6esZO
z5FZWSrEYARIJ9z//3Ovv98tf7vTD7f2p6XVnfvb3fLLq8r7/m8//+zuqof21h219Z01znzxR3em
/dl8+VLfPfx8b2/nuit/xiimP99Vt9Y/LK/+8Xf4tPLBnJm7W1+b7np8sOvNgxu1d39y7IeHfrq9
b+sur5239Z2Pf3mV11++3L766aHztV/frP3DL6+eveXVTz+//KDffelPGtblx3s4N2ZHCY+piGPy
6idtuvLb38lRzAlLiGTy6efbd17ctnDe4zJ+unko4fq+HfnRah7Xcnt/bx+cg2t5/Pfl2c/W//Lg
nRk7f7h9h2/65dVFXT7YVz/VzmRPBzJzuIyLzeN1//z8xv/j7y/+AHfixV++i83L2/a/O/S70Ly5
rcz4r4wNPRJCSoxj8msMvgsRO8IJhtCJbxGS3wLxFKKn5fzTMXpx+osgvTj6bxSl/1He3j+Eb7fq
R8/sX9xB8ihJEkYS8mIHoSNGKUkE/y16T7v2KTxP6/inw/Pi9BfheXH03yg8uXHO/AujQ44wj5HE
NH6W38gRQ0kiJIcN9vgjvn3n1/x2WMY/HZzHi/j17BexeX7w3yg0b2qtbz8/2PrbrfoXbB56RLGE
vYPZs/DgI0IJSSBE6OkHovf95nlayv/8T1v/epf/uCL+uAb94CNeBOoH7/g3itb5rb29/1eGihzB
RsGYJfjXkHxXjfgRIYIxjumPI/a0nH86Wi9OfxGpF0f/C0fpx0v7/tl99o6/qub40UG0YfR8N8kj
gomg5GtkEHqxm76Kqj9exY930NfTni34v7ZC+1R39wf5+P2VPnuU/ur9ZkdxgnFCxQ/3hDySiUCS
CP71ziffvvqpyDwt55/eEy9Of3Yhv7x6cfT/ZZT+WGP/akXyW3+7efQw38nsPz/6TZ+/OPXPgvkU
5+N78DlJLAimGH0X4cMHPasqL1TTD89+uHX+0TZJCbJP8kRicRAYr36aHw5HKKjyhIIkp7FIKIoJ
f/VTZ6yvfnmFQXTEPOaSChkTxil+9ZMz4+EQ2DASSwoJNoGjsE78q4u8MnotTffrvfn6+qdubK9M
3XkHZ8fwSf3T+w4Xy6Gk8jihHFZIKZecwoPX393egFU9vP0/WmvmpjT2xBTtSt61jizu1hI90HEr
h7kmd4qyIC6XMTHr5wkP1TtRwa9uVyaVsxkLJpBoF2ZjxqzjMynWTC52inec1djH17qRyYhPfIki
JdN65ENhtyZe0IlQSZOMe9yLeixzJ9ZC2HQe51Xwu2rqa0Wuh3aKx/3o/NBHfVo2MpRrikVr5LBF
UUtG8wXHIzft8VBGCofNqGWVoKxwaoqzuipnlauZULcjMXYzPq3juQyfKBr8wjeF7RYR7xbUSI13
sShWg3a0D9FKtm3NpIuuGdXawVfa4Ja9GUyz5y2jynyQijpM9wGh1USXpFKyGlNSNktcpcvsR8mz
0KAmDDcrwSZrE9pGbdounEWbJKhW9XmEaF+2H4TEEpY5FoJouR3L1jJ3XI9kQnUKi15Fe7yOlA7L
Wd1EbXQ1tKQKblN2GPkyr2vWLukYi1XZPVmINW/KSQ1bzX1Bq2xeFqzvW4zGAbs01qwd8ridW95s
EE3iOcpCwVC86dEqupOaN4XfjtryvFLtKtu0G5r5Cyslcu98MCI+Foiv6PPk7VBlLCbLepMMDUH7
bnJMpTZEBf6EZGiK+84Nq08xk6W/9DObpz7tky5BNmsSK2y9L4qhHlQaJ2gcT10oCnKtdBK6G+9X
pD8lppqS3OB4lnsVFU0MH1aYsclbrMrulATO2Z0brOdlzvtuqG572GJTkorJ4TLk32OAZzvnzvSr
rcvqK4L59eU/LvuH7rW3Dw/+/LZ/xAO/HXv+8jd6cMgcv6KEF/noCfT8QbL604N/LZPBlv+V9Pwu
k/1Auv4+m8EnPGUzyFmMsURKQgWlkiPIWU/ZDEF9E5CTpBACH7LKQTp8TWcHdCQTSIDAjwhjNIEc
+C2dxUcSYUYk/IfhQxPyV9IZoZClv09nBPIrIjjmAh8WBz/P05l3ThVVR/K5UUWXFlHp8n5px5xU
iz+WyrEMAFp0tkhujpOkoWdUKHTStQM9jRwfboxul2wRXXOzuKnZypGoY0/0epKEwM/CIvCea1ad
IDHzcz+00UZWTuTcJnWVmsI1+2QoplMRyua0xvDt8Yh5TurEvHE68plDQmfC9PQ8mnqAb4qPJ1wU
/Zs1Qet1i6LpoVuHQad4Ea5OW635F9uHpUlrY+xntCjTptS1zcc48X6jRDPmphRDvG0bNr8OESu2
FW/VdpBM3Im66WXaNg7ltejMVhaVzSgxn6s28SlFVQoossisWuetLQccpWvs/TWrUXW9MOdOUasn
k3V+FEnWNiPz2zmQJlWOo1Os43rn46bYT32Lb+MwNLd2Nc3boBZ24bke7pCb5PsZV/LNEjeiPA7x
wr9IUvn6uGw7NO6smkad9jUb+Zux55FJUTDaXBGDsUjHQwrNBjvwZuvxXHb7pincjZDjbFM996Hc
CEz6JE0auexdX2q8CZ0gCIz1sORDXRSQGyiPHqzWJs6SDukpm5NhSKukmo/7pdSfaCk0PClMDEk6
M6/rrVEtxVnFR64uRZT03SaJIpT3SYyvrKym8YNZi77+yJzwLI1CAivOqnHlVcqJDSrjFLWvDV26
5rhY50qlbHJ96matxgvSryzKOxf78dQHzURa6Qkvn+q5meCKO1L2OVnZ0EMp7PGwj3mDaniGZcw+
ltL4+bQno2u2K+l4JhbG1Tst4uFtREO1a6qWe5s2i6LwnNaTku/D0DJ7utC25zu9dCrkQ1fS6yVW
vjxGVY/JienhxYb0ot/V3djHmV/1lY1GJXLaG4nHtOuLysFNsr48177l+8bTjqQGLZjdjmwZzZue
L2PdfuFkaIotMqJFa1pRNgzvW+WTeecmP4R0DdaubTrXdq2ypKdVv18bXU0p7zFbs2lGa301N2Lx
H/rOVGRr+LK+Kya0FPkg4LGJuJRQYRcoo5TWdZNHRi/hjSgh62wnF83qMkAhXcXGi6a/9mVo2nS0
VXfuZzmlDRrKfZXIqEqld1HWLoZfNHOrujQMpRpTxU1oM0uSqNt0LYaHDSTFm8Vye2rLtYQ611ci
nVVSHydDr3FaT3KgFxBav59i5PKyLMxxqWE1qKTrmkNmWaq0CU41KTGmpSl8XQwx1lGypw2ekwzX
QtQpKWj0fqzaeEqLiZdmMzXs8HufmONmJapK+3mthpSDGCkzpav4JMSy7dKpkE1W1GRuQV4V9cU6
Wp75qlBtOkXtdLXWipdp1YUpHXzSplFS1juuTHQu2VTaXYfaxGaWk97ugp9scd020WjkvjMNmoed
rXEfn/VztJiNibu6zikuDwsJRRJSGoQwaURt1GSOV9Nlorr5YuyrfkpRG+iXgtetySvQREXazdY0
udMhOrPFDLcI95NLF14Zk80hkvuEWHE+6z7aQH0esj6awyeu1zVbW+/O2i7oTEahSm2U2A8di+jH
1mO3bQ2lrzlH5HikY7SdKB8uRthtMoZ7rq2sN4tjePcfi9ClhcS0wbaNynQgcXfFa2VAWui1eV0y
7Ou0lO26AzVSvQlMJJd2oeaKOyxPlsDKMS99u75dhmTOy3WKP0fLbDZjsrhLYri+p270Z7YqxQ7i
FMVpM3V+m8R8OuauG16zcuHH4zCbdzZCfo/4XO1Fx/wDdwneVSbpM0Xj9oKAlPmwzLh8q5OkOLxv
3E5tF18igYpsLYrkctJEnyZoZqeITP40qtz42rcJekBe9FckQuFT70e3FeNYZaqai1SEZjku0Nqe
MUzKkyTS4T4x/XJZJ7Tscuco3cC9nqcsaKzm9L+NgooB+f6xgnqBlH6nng5nP6knAZwfSyQBBMQS
OAuGI0/qKQH2zAkGahZzDAQaPxNPB9EEkgtzJKB0gBj7Jp7wAbSJWHIQZYzGUv4V8RSjg9f7zgsS
lFAJnQhOKYMuBeyX5+JpdYELKvs99vK4dloVG6+KpfgkPF5NyoJfpozrtls2iRlJnHXSQnYOAypu
V22EQZlew2SndF08Ko77EQpwXlZdu27KeKzVth6svtcRpIF8BBlvQUh08Q0Du/QG8cqVZ2svqc+h
CPtbWkWreN0kmhio9Z1ePhSu103axxFVO2OqDkG+c5FIJ4ZVf9Ws8TDlaF7aaevXdej2qGrby4XQ
etu2uo7yZRCkvlC0Vx8L1Ic+W9cmbjaiL6usLZiHOu2hpBzHYLNw5urS0HxSbVKlivpKfEBctiJD
CbiL46iJEpYRz/yFb8fIbktnefS6kVFc5sS5sORjteAkK5lrystYlW2RAQBam3u4rjVkHPzuvJnj
JpHbjlao6dJxNKJ443tJwMUEVxIFiqXi4uPI/SKylslFp4aosbkTHaXVDVFDCbqt6i6qgRX2iyO4
vRhGY9x5UWg3ZWtZxCZTbKnHTMZlV6YOObFD1K3tVkNpIynUgPF1qBSJsmqOJqhXYtitURUVmxJ7
SlOZFOtJ5EhIzjsHIj6Xqwo7UDQYZ6Ed1d5QW4t8mljssnpefJkNjE3ooRu0HLrtKPVERepno/o+
DWPiok21ynL73ye9wD784/RyUUMbff2GA78jVDGc9pRXMJAkesDp8M9jD/FbWokBKyKARdC9AsID
nXtoPH7zZOTo8GYiAUgKQF6HT/uWVsgR5CZo55OEgcvjmP+ltHLIas/SCiSahDMOkIuQOOEHzvU9
Yvq16E6sb+a0b9qQryU3S9oJXKeKJX1q1/eqvmHaXfLEpWaiwFn6dBqbGzrbbdRMW47VuSL+mGgQ
uDWpaWoiolM9ltloohMb0KbQVwCzcs2kT8Fr4RyP3ZoP0jb5jIfpQtUBONMIMlQeiuDK+2wASbWP
53vIQzMIdBCl5lAz58i4Y9s4vFHcldtaxywDiUe3lZz5iSrm86qqbrsaktnS9TlkbX86FIydLiO3
qUW93+I2LBuEeZE5ygrQZ2OTVtUy5IGbDDSFy+JDUaeGr7mOSJ2uh2pfyBWfDZpcB+FvEG2WnNV8
TocwH9cHccDIvCek8JthCO350Hb9pmDtVTkgMJnG+301qTgfqvK6/pRMnudAbfix1vgdkJ3irB7D
dNyuasviAm0Cnz7FYDOPZ16At/DzFRk7sWMHCdMBcjtvmmTNp4O2UWQwsGtB78RlPOeRAw3EsHPv
QyLUhjUjyui8+k2hpisG5nfnDqrJAEvLOlLNmyLY6o2Yiz5re1anEwj6rHMVTUlT6BM1VHyvPX7r
IjKDDqlAtTQO9KOX+pSSSaZq7O6LDndb5vCUiqKrrwBOXvz1FHL+bXbnOdB5hDS/0Z5/UxIUA3f5
40TzvNv8exkDJ3+DQAmKQZAkIEmkOKSQb/kGHwHb4UjCJAOIEZpgOOdbvqFHCWEHbg0aCD/NQHzL
NzHgIWjhgiTiCWgc+LxvUOwZmINBqa+vnyFtBi2sZ/kGBBboF86A5KOEgZx5nm9qO6x1Cc9rATxg
Om1VMCSzKDQ6a4doSLZuLBDfR/06DRmAAg/8B3jxsuvMIEVWNdPaXBWRnPRJcbik+8gtvs5BCMX1
XaH6LuSFKUFqhKE2e1ksnc/iBfT2ecHRXH7q64G1qV9mwCu9HYHmehlF7jieO7PmizByU8QtWuY8
NmVrTt0U5Oey1ZjsHFr6OOU1L6fXDCZJorR2dLpqUMJ1HuBj4isjyXiscKXHTQ0Vwe3DYvzJAJr/
U4LKAVwN6Rw+mbyJ1HHZFGjYH5xHnxZdEplcz2wUqTRFWD6x5VCYVQzO4TQMK41yIGDVeCENFOqW
R6VKTdO0zTEQ7PY1AOlVZT6qAHMEDK7dZLJoAYCYeu7qj+4RjAwHRpIAy8oblZhuowFlqEtQCARn
yyNcwW0HoMUA4upSmOZqPo0zGo/Xhg8pf8QzpLIdoJoDtekfAU5Z6yWH5w2j3CGp8IYfaA88TAB+
mO9XgEBGTJB2O+puGNZRu7ePyAhrH5osdCWgpPCIlfwjYjKPuGl4RE/lUqzjruqRrY/XA50CRQag
itaxeAN2Vr5v0DJ+gvsnr4YD26q0ULfjgXctyBX7+MDA6gMNmw5cbPQh8dv2EZeFR3QmY+VO6SNP
O5C14RGyDQfeFplBAOcKZ3WNundl5wN/L4bG8EwKGmwa+U4A2W84yRpUic+TXJzIPOfxtooRFrkc
oX2QgqiKVC7WhO5boPynvRD9+7ab2jOc3DOf6DVD6zhutG7mM82KuclMEuo9cCoR0n4sXJVRtAwu
1VzBgnpOum1ke7XpdHwMHQ91Sxzqb5pCsK1OZLjoStbv1pr75r+PhMMgrP44s75osP4utR7Ofkqt
MT4CFQcMC1Ioh8bPgZQ/OUSYmgBrRiR07cEeMhB0v6VWfkQlPUxTYEpjCgbkNymHj6AjQyG1gvqS
QNr/El6P6e9SK+xflAjgHgTBlAA/HP+uW1jPhS2GqDkRcYVft/DIDmlZJQwsUtUa0m/ixVQf5DgO
IlNoIX2OJ9vw13ry8DuMhPDxU9uyGHplHfVi6VMf12ARZb90n2cwX9NN0VpgdGlSMCBFrbfFhla2
B2QYBmN7aGixpdjrsrczSoX2sz0eFj+DuBoQUXRT0MA7mylQeD4ftWPDZuiXeFfKQBmIj3Xsti5R
RZ1CN4vTtC2rmaUuaYAITpPT7/oYiy9rU3Ztk0Zdq0aQoVwbNaQWiNroLrVTvgaLO4PKkzkY4AXS
C28s698osoCjIgpRC8lRUZrslRuEKrcHc3wCC1zRkuJYUNaki8QcOqJV1/Nep1QW89xs5CBsvGyb
eKDxOY6XDqDe0tUjtFNVtEJvNZqmbswM1RPaD9aGZsjs0JHk3Jje2ky0cQW9WUtk+Q4TN01QDVhv
rpvHJm4VkgjfwbME2Vg5vLZzRlVdylTqjqBsatYRX3E7NiDBrZjIu+nJnvJZzpsYbGTIwqOFRY92
NqIHa+sfba4y47rk6tH+RvZghRfVQ6dX1ZO/KB7Ncng0zkBqO5FFEpLNh/HRXEMvDow2tHPBdNNH
A64fzTg/+PLl0aLLR7teH5z7/Gji9aOhh85uvQ0Hl+8eDX94NP/qEQRwMNX91WBxIVKTuBalsqZE
7bCjDUAEwerlg2UCm5Q8ggZ3YA5DHBGfh0cUIRm0LeoDn2iRAlTB0DBZkNaiuTfLUKlt5xHdrcCS
dUg5PKOXix0B1bfRzKt8mZsCulBVAUCxnaN5P0BjG2VYG0Zyqh3YjGyia3zXhnK4i0rrV9D9Y4Fv
OtbIODNDOdnu/x8Ed/f98PYzs8v/NLU+G0h6NMeH939Npgzw2A9HL/6sWflnsxf/R0IVIN0LoRpL
kYD5ZtCzpIww9DKb/rFQnQfL7oEgKpX9Xq2S1hTRDhBxHH6gViux1sPVLEh0gVQVmt2TZKXzULzX
oA7mdEmW7o4tvvrsFiXOpe9i6Dwx3UNLxg3kZETWlJ9nHPflWYTjcCKwNzuoC8VWd9CbOF0RKLXt
VxErW8sD20jUKHm8Wtrb89Xbye0ZdFrf2s4mU6ptYdsUq24Im+Cqps1Y2VXhyxr6lZ8l0xqnuGlU
v4eZEK42PfCMcrMkCvB/Dp0OinYr4AWb/ggsdUDNuEnD3EmQQCv35Bm11Gwl5OKJVxbTCI2bFIhe
A4BtsoSkHBqm9wDexvdDs85rOqxFN6QwDIG24wQFAbqFYrpZeQm6CYFGLnM0ztVVMzrW5WSM+jNj
aG3zBQ+DBTl1IJ4eobHPCuPi3Koe3/TQ8tr6sqSnRYKK+tBe+7BCpuGAMKS68GskUEbWpL0D8NHM
mV+66rV0PYF5kUaidLYYuBxl6lML3UGVzlqONZiHui1SBFn/GEry0GaNxNWSVStKujQ2Bb2Axprr
81oClcmpGj/G8+xdNolw6TB48mb1y642mGxthZObuqf9HeBr16QWvDW0LuLuw+rjah+gs9/lMLsS
3gXdsvunDNVVc2I2tUCR3hIKfDeLVQE09VEZkHFCcxoZE4o9cA24V8lc+CYnhJXmzfdyoBzs0py1
pZnF2VdNMLJkJcUulIkjt7PqWmjjoFi6cNGHqlm3Fv53nDKzNczZX0Q4xPrg4hqzRY6aNwEMxykd
rMxZk5xNZjkP0n8ZTd+lsh9NuhbQXK80NKAnkMZdBErAgh/I0SD9ZhHjmXagLGylu8+K2TertXYj
yhLlY49kCb0qcTfbfsjJgstUDsqkMaDPfTMHsbVs2ZW4twB69LRXJdTLvoreeY3eNbQgO0O924YZ
6o9ee71Dw3i29DKP5xr623DN+1X3UKD4uwKRjenqvRM8SmHQVqZAt1UaIbtsmoDu3dJ9CGvyeUj0
KXChTViScktnKh6CBr8KBUmJ4ipaA37dWcSBzQQHAwRA35ai3RQ9xtBjlipbVaXBEvL7EtUuTdYi
Tivos+fJAgaO9cNOjPFlGBaVVUXkMrO4Mg1+rj9PEO/TpZC7pC3PpBvgoZkZft+Z8r035YmU5Sc6
8NezOswg1fqTZB4auLQFThyNFz1X5ce+aq+hyX8c1ET2KlY206M9CVz3me+jy7Iq9qrQ7ysY7AKV
Fro8lmjOHEbF2yZukxvX929ZP3+MWn85g89rnD8FXaL3zIznS2Hat4AfhkyM3nxJVBxtzWxK6LUy
SBYLdJVP5j65UXMYUz1NALfKJUlhBmJOtR6nzGqKNzi0i0rrjrl0QqGG+aUpZMUy4cz2MCcgEoPS
Do/9Xmn/idR22gLMvBfKNudDQPoC+iNXZTeB0Z/AysdFIs+cneCOcKzTFcYHLlAHrdd+ZDfWxe/1
jLbKEFAqFW2uvfR7pbCHDiY7BuO7UUvxsUro504OOutB4eaaLu/9UnjIE7bYlgGxTUJcdd7VMDXR
+GLDEqT25QSjVxHIjtEO9oT1jsJdIOeklvYU7Kg6GXnUgILB/SZpYHSlca/56K7AVkIK6esqH3m4
Y0TctDEbTpJJ293M5w9al+1ra8iS6Rmw5oz0kNce431c+D2Op+VCWE3yktdl2iMYQCHDmV/oxuPW
bFwTqY/1THaWlp/beaRvpple6tblIIyMgUmvdqOGWO7bCnoLlZ/6PZvtW7eM921iAEzWp12/KkjX
4zswHh+diEQGySa6WPzKYb5Aa0AV/bWu2ZLWeHnr0bJsEY1P0BzOzSHRz3rHQW9lsVthVC/haQU7
Ckxwsasp3TVjbPYw4bj1ZpoOIzM7w2Su1wieziG6msbp3qD2ZC0H6NUOxy6g6Hjq6DXkt/aCB7hm
D+MKqaoxQArW36/d8pah7gsM9J0ktNqsQ1/mizFnU73KnY1XvQ1ddK3RVKZcWtjrS3QMswMn0CD3
n6tp3vQFTCa1Zi4zsIcqg8FEnlVhuDNmvWq1MFnZ+zsOMwe5qOruFJoyUSrmwaTe4W2DypswSpJD
nzlvJ3kfLeHSe02vjWInCcwyhVgooA6iEG23h9Le1ENaYA3prkPMD1+QR80bb+BhTIdSG0RTdQBC
qQQRvgWMoaA1xVFk7pZ48RRKCicuk5UP8Ttateu2KLmHEb4qxvBMbUH/DsvdYVoGhpyA/Ma224S4
7QPMUHIy9rkMoj7UsVlowd+IsQF64dtBHWMZtxE7jCSxOrn+vzQLSrpoZmpXwBjS0u2c90u0q0rX
7aWlE34LwcNmuljLCEzdWsmrZR2Wa+dq9HlAsI/yHmoFzkA/sGp5bTlrDNvzqEpw2rYT2cJEUyjZ
+wa6mkn2dWgU4FVA1xrDPow20NqYkT+GQdPSDT+cGi1WDGNOwpi3COY5dXRZA8Fy8fEoGvRx6fQ8
eZjh9CILUPgY7oI3+dcxUqVm0WakqIeK3uA4KfKnIdKmicpB7aDHysoK4jC7HZYqNFVGZKzHXBfE
rufPZ0k1jBUJGLUloWMkLaqex0DjSNemrGkJy5zQMG6RNwEKzUVVWOuuXIEsJFkLGPh6bdeVZ8QN
7Q76hkpnpYSpt49dbD/B/Fhfv41LZ/jrp2ElGIbuzecapqnV5rcJpSnggtvt42hSBf0D87/IObPm
qnEtCv8iUR4l66Uf7OMzJSGEhA7Ni6uBYMu2PE/yr+9lnSSdCe4J1K2i7n2hKpxBthJLW2t9a68k
b4aRYduZxwSH+DSpkmK45Y+Elccd9YvGjfqbh7RRV8pJ7g6gUVKjLAuOYYxE03hsrcmiQgwRACyN
EqVsSKdrjQ9F0o2ZH7fUbMKHwFAyTEnpi1yJcVNMuQElhKddu9dYUMTzmm2SyEgNPN6OuUpQMsuQ
SPjPqwfQz5igolnhSZdyVdmcdJAsoMnHrV8XYKYlDO0SesB5o+KCrSNDZvnOrArL+fMhjlPJueXh
LYQjBi/zY3uu/bEUOdbXuesCTduAmhegEkGztV6W7zV307uq2zRTNV9bkV399QJyczSHmQ39uJ2d
adz9y2G6ivQQZ9px9bMIppf3MmDwwtc/RjDThKR/phMzTkkfN98OCCZDjX+TRwb9diAwDWaRz8Bp
JOhMPOVvJ5qnoSktF9XWPYZpll6PukdYzzBMOkWxn0bNBbVRZ+Wm/LyQmJVHPV9TmFoQrk2afQZf
m4RVQzp/0V+3E0Q1J2ixVe4aYUxrN1GfSemOcCil2roNT0UgCKAw0k9pKGKsiyTO6C72HGOt6sEL
eqv4iF0nDxw1VR8dNcQhz8gIPSxK/qwMOa0gpZ1wgPbg0ozU77IKpxPWUxME7KIyF4M9XPM2alYN
lN8V6Mks0JrzVHc3rQcMoXWT8mIc63dae44F/urn0WZB5mErz+Y8DUxQ50A5JIcxO9bOB0AJH6LR
SXbQy0joSbp2YlaAZh1oGFeGuTdjrvy0FuKLhNC1iZgsz8BAZb7ZmykMhja/rOMGR8fRmfzRGapr
3AkqVMX7YVPKQeEgmdIdi8z57SjbatdHDcONw+qxLahVP6th/297iNCdv690Pwl7P1O6TXz6IM7Q
NwzIN5RuB3kzBokYovVB6bbfeKDFQZKbYBpQoS6yyZ2J6L1BTGoJSbnUBKTmwNq7MxEXngFeH6eQ
wBcF9XXQgvsUJIeJaEDgxr8uqHV4mY+V7nzZsiaZobT/V35QsgRukJbKgi5QNuBjiW2mW6pZmGjB
YkpNyKT2aNKzai7mfRynruNTI49JWCxoTedm48rQvI0bsf5SagrH1ESOwUtvE2lOJ9PMzqz5HaJZ
HuHEdXvWLrQP5yppvw1VU7xt+hHPXk1p8r6cnTGDQTmo3JeiUl5AxcS9vwZgIWkwxC6IXDfzhHve
HVITHpDxq6SDzhJGAFTHTUStBMkKnbLIDpGLSucvmM5i9DqXkR0yGjqv0eNoG5Z102a7Pm1pdVKZ
Huu31CSURasGe3N1jt8/b89U1BVAhQ85EFuHQnBoR0AEaSLnU5/aTQ5XE5xx0OoMSTkseRKmsyVU
50xGnTnxHFC2n2kec3Mnx1R9M1xDyrflklOpSkYdPN92r/xmShTdSntkK5rVpFtX7Zxn+8gcKyeE
czci+jIOcwaI2s3roUxDOx+o8zUyCeC4FXQOD9JO37kw4hL58WFlYxm8/yLUFF/9h+pmTo3e9l3h
1pcPShwWx527n1A35qul0JkxKRALZM+vlWa1qea2U81wpwegG64GaosF82aa+KaRgE3Y1022JlHf
jiel5sMNzYrjwAvr11pcYPfgCAvZV58II+2eFtXcboW2j4vFSVbaVE61wZwsXrOjbWeqLehG29EE
+Ii94cJiODaxxKxqn6Qpj1dcSDXB/2ki5gsh2zlsbek1Zx6bUJE9VPuAHafVKTZyK10fNL/OzCu1
K+PGkTS0WVTN/0dmIuDP7y+xL/VTeUCFLeTovfwNbBRUKIU57nqGcY9pmMYbPDNYYREuhGcIW/Dh
Cgu2A1ahiUVv8QsfrbBYi8F1UAsxG8bN11AaiOM8Eb/xYKLlhcEQFwL0YXi4hodWolU0JfFqdooY
5KZIXPaBgEgL7Im/j9SucbM4zDpDHXQqQuZxqzWqwY1c6AmsqkKPwEwrWgNBxQxHAuQC6oCMbbJO
ZG4Cayhr1EzlvDF6S56mmTucNCXdLzJVOpvnJCvPHCw3OAZlcCFR+M35tquGr4tcNXFZbWyvo+cT
acl+hPsa8CouwipLRIhD4aqU0NjaKQugKE97R8Zk3yHzsyvhWq0brEAbsKF8nVSIU2jNCuurCYlN
0mwzFIjfgQSeL0tY6woRAsbPy6If17RQzgXzsEO03EOezy6Ta0Mx+6BJoTxFpadYH+Pqh2jrlMIK
tP40dYxcCMt13xp5WlxozSma0mYJ/CSnHmSCjZabZGVcplXNgONCIF10JyjEPrdIvZ7n0b3OqeLh
2PPqzBCe+2FuHHoKAzNZRwzhEDUBee3K1rqyeycRPrQEYAzcQQiiI80JkFt7B+PUCrIUUBwt5jSc
6qjeyrqNcp8XRP2dCWadNpikwPba+KLhRnwCNyIO4jhmqzke1A3DQfnbI0koT/p6X7dqfJc5U/fV
SCKcTpwYpxNmfeiqMt02kcH3iC6wm5zPJFRu35xYDYVkz8f5fZR3lxawvxXHGo87S+q3pCFN0E/K
xc7Hiq3jACZjMTu3EBxwOxa0ZrJuU7Xpkmy3SDec58hMlWpdsbg913KNGCznZDRiPy6NFdTb+m/E
drHcz8xY/avQcAd6H0kV/wjYJg4MZF73Xt/0mzS67AWoCyz2DXhDRU/mEYUENkStwDRe1Y1BEUXK
viopsgEljMM4kP0ojXfPFBkB1Omi4IWTb8feta5KNWKtJmbvXnCK2ip4ptWMiVDiRMXSuOiSOgOz
HFsFoqmd+vpMuhmqjCh/JqaSN+4YTdnncuCZ5fiPVJy6Eqq+ZHCkheUftJyZFN5YYDINca/o4AFN
+RDmPWBl/B1i8t6T2kaobWppXK21xpNEWVGdNpM18hBHF1W+M2i56IgG4qP00zAhSv8FWpNXrnNh
MvmuQ9xLsK9ixI677QAbCfvCBGvTV+tZMVBXbWIU3rCFUcQQMqbara8P1j3WTwkjPzvY+lnlxDD5
+4PlDzUtAQAwHXCAcXBbsYuQbnaBri70QKNJAuxkoArGFBZfAIHQ3EhWO3UI6wYMgkUghzQBWC3h
hCJqO6AKXHMLiTALWA3wZEaYJCrJgDc4k7tMRVlGoTJ4ka2sAuJq7I8TIf174i2cRNHYpndmQQiZ
HTwyi0kyG87UXHiVIOwkir1RZT74vcgEJcXiaX0wSYDom9mZsiSiyeC2TxZfZM4VcNEWIByqYA7N
kla7yh2mIJsLhXyXnV2RlioCNYCJVU2Y2sedWex7NzPOtPGRGoXYcUOWF10hyZqrOkgGc/wU0yxZ
OUnn+bbZDausk1MIA6oP1TzTTVokVhBVZb9mQ8Yg0szuDPozaiBXckC7QwoFFDaG3ihvmwg8YgXv
Wc1DGv7+x/9aiPf2Il6M+N4n8pdXdRT/qgx/2NLge2+64yJf/qJHseBXOOp6NN1d4Uff8KAV3PHN
Q1DHPJiZn7ut51Ho59/z6MIf9bd4BBPc9nZ4WmB9ZwKefM+DCXhFL7zfcgaeJZpePQOv7/HzW07E
M3Dv1RPx+sYuv+VEPGPDXz0Rr+if9nvOwFNl69Uz8PoujL/lRKClzOPz509MxNG92n7PGXja/OfV
M/CKVo/HzsAR++h9oREkyB7pEkPctC/1TfreG+4KjOev3+6wd4zdozcu7f0OYx8U3+XnPx7tnroK
ePDiXVWgx7n9+O0NPh/60Vh3d3X3n1tx0/zdfEmUfkHdXuahbdaPs3NHNMb90ZcfpXX/4hhHZYt/
cYxjcj+/OMRR7bJ+cYxjdLFfHOLoXjm/OM5ReYEfjvHSo3RfiT9/wO4q7Jc+9nj1WN6h21//8Q8A
AAD//w==</cx:binary>
              </cx:geoCache>
            </cx:geography>
          </cx:layoutPr>
        </cx:series>
      </cx:plotAreaRegion>
    </cx:plotArea>
    <cx:legend pos="r" align="min" overlay="0"/>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5">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10">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800" kern="1200" cap="all" spc="1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800" b="1" i="0" u="none" strike="noStrike" kern="1200" baseline="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15000"/>
            <a:lumOff val="8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cap="all" spc="120" normalizeH="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8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w="9525" cap="flat" cmpd="sng" algn="ctr">
        <a:solidFill>
          <a:schemeClr val="dk1">
            <a:lumMod val="15000"/>
            <a:lumOff val="85000"/>
          </a:schemeClr>
        </a:solidFill>
        <a:round/>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494">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3175">
        <a:solidFill>
          <a:schemeClr val="bg1"/>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Drop" dropLines="3" dropStyle="combo" dx="22" noThreeD="1" sel="1" val="0">
  <itemLst>
    <item val="English"/>
    <item val="French"/>
    <item val="Arabic"/>
  </itemLst>
</formControlPr>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Set up'!A1"/><Relationship Id="rId3" Type="http://schemas.openxmlformats.org/officeDocument/2006/relationships/image" Target="../media/image2.svg"/><Relationship Id="rId7" Type="http://schemas.openxmlformats.org/officeDocument/2006/relationships/hyperlink" Target="#Analysis!A1"/><Relationship Id="rId12" Type="http://schemas.openxmlformats.org/officeDocument/2006/relationships/image" Target="../media/image8.svg"/><Relationship Id="rId2" Type="http://schemas.openxmlformats.org/officeDocument/2006/relationships/image" Target="../media/image1.png"/><Relationship Id="rId16" Type="http://schemas.openxmlformats.org/officeDocument/2006/relationships/image" Target="../media/image11.png"/><Relationship Id="rId1" Type="http://schemas.openxmlformats.org/officeDocument/2006/relationships/hyperlink" Target="#Welcome!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image" Target="../media/image10.svg"/><Relationship Id="rId10" Type="http://schemas.openxmlformats.org/officeDocument/2006/relationships/hyperlink" Target="#Reports!A1"/><Relationship Id="rId4" Type="http://schemas.openxmlformats.org/officeDocument/2006/relationships/hyperlink" Target="#'Data entry'!A1"/><Relationship Id="rId9" Type="http://schemas.openxmlformats.org/officeDocument/2006/relationships/image" Target="../media/image6.svg"/><Relationship Id="rId14"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hyperlink" Target="#Analysis!A1"/><Relationship Id="rId13" Type="http://schemas.openxmlformats.org/officeDocument/2006/relationships/image" Target="../media/image8.svg"/><Relationship Id="rId3" Type="http://schemas.openxmlformats.org/officeDocument/2006/relationships/image" Target="../media/image1.png"/><Relationship Id="rId7" Type="http://schemas.openxmlformats.org/officeDocument/2006/relationships/image" Target="../media/image4.svg"/><Relationship Id="rId12" Type="http://schemas.openxmlformats.org/officeDocument/2006/relationships/image" Target="../media/image7.png"/><Relationship Id="rId17" Type="http://schemas.openxmlformats.org/officeDocument/2006/relationships/image" Target="../media/image11.png"/><Relationship Id="rId2" Type="http://schemas.openxmlformats.org/officeDocument/2006/relationships/hyperlink" Target="#Welcome!A1"/><Relationship Id="rId16" Type="http://schemas.openxmlformats.org/officeDocument/2006/relationships/image" Target="../media/image10.svg"/><Relationship Id="rId1" Type="http://schemas.openxmlformats.org/officeDocument/2006/relationships/hyperlink" Target="#database!A1"/><Relationship Id="rId6" Type="http://schemas.openxmlformats.org/officeDocument/2006/relationships/image" Target="../media/image3.png"/><Relationship Id="rId11" Type="http://schemas.openxmlformats.org/officeDocument/2006/relationships/hyperlink" Target="#Reports!A1"/><Relationship Id="rId5" Type="http://schemas.openxmlformats.org/officeDocument/2006/relationships/hyperlink" Target="#'Data entry'!A1"/><Relationship Id="rId15" Type="http://schemas.openxmlformats.org/officeDocument/2006/relationships/image" Target="../media/image9.png"/><Relationship Id="rId10" Type="http://schemas.openxmlformats.org/officeDocument/2006/relationships/image" Target="../media/image6.svg"/><Relationship Id="rId4" Type="http://schemas.openxmlformats.org/officeDocument/2006/relationships/image" Target="../media/image2.svg"/><Relationship Id="rId9" Type="http://schemas.openxmlformats.org/officeDocument/2006/relationships/image" Target="../media/image5.png"/><Relationship Id="rId14" Type="http://schemas.openxmlformats.org/officeDocument/2006/relationships/hyperlink" Target="#'Set up'!A1"/></Relationships>
</file>

<file path=xl/drawings/_rels/drawing3.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Set up'!A1"/><Relationship Id="rId3" Type="http://schemas.openxmlformats.org/officeDocument/2006/relationships/image" Target="../media/image2.svg"/><Relationship Id="rId7" Type="http://schemas.openxmlformats.org/officeDocument/2006/relationships/hyperlink" Target="#Analysis!A1"/><Relationship Id="rId12" Type="http://schemas.openxmlformats.org/officeDocument/2006/relationships/image" Target="../media/image8.svg"/><Relationship Id="rId2" Type="http://schemas.openxmlformats.org/officeDocument/2006/relationships/image" Target="../media/image1.png"/><Relationship Id="rId16" Type="http://schemas.openxmlformats.org/officeDocument/2006/relationships/image" Target="../media/image11.png"/><Relationship Id="rId1" Type="http://schemas.openxmlformats.org/officeDocument/2006/relationships/hyperlink" Target="#Welcome!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image" Target="../media/image10.svg"/><Relationship Id="rId10" Type="http://schemas.openxmlformats.org/officeDocument/2006/relationships/hyperlink" Target="#Reports!A1"/><Relationship Id="rId4" Type="http://schemas.openxmlformats.org/officeDocument/2006/relationships/hyperlink" Target="#'Data entry'!A1"/><Relationship Id="rId9" Type="http://schemas.openxmlformats.org/officeDocument/2006/relationships/image" Target="../media/image6.svg"/><Relationship Id="rId14" Type="http://schemas.openxmlformats.org/officeDocument/2006/relationships/image" Target="../media/image9.png"/></Relationships>
</file>

<file path=xl/drawings/_rels/drawing4.xml.rels><?xml version="1.0" encoding="UTF-8" standalone="yes"?>
<Relationships xmlns="http://schemas.openxmlformats.org/package/2006/relationships"><Relationship Id="rId8" Type="http://schemas.openxmlformats.org/officeDocument/2006/relationships/image" Target="../media/image2.svg"/><Relationship Id="rId13" Type="http://schemas.openxmlformats.org/officeDocument/2006/relationships/image" Target="../media/image5.png"/><Relationship Id="rId18" Type="http://schemas.openxmlformats.org/officeDocument/2006/relationships/hyperlink" Target="#'Set up'!A1"/><Relationship Id="rId3" Type="http://schemas.openxmlformats.org/officeDocument/2006/relationships/chart" Target="../charts/chart3.xml"/><Relationship Id="rId21" Type="http://schemas.openxmlformats.org/officeDocument/2006/relationships/chart" Target="../charts/chart6.xml"/><Relationship Id="rId7" Type="http://schemas.openxmlformats.org/officeDocument/2006/relationships/image" Target="../media/image1.png"/><Relationship Id="rId12" Type="http://schemas.openxmlformats.org/officeDocument/2006/relationships/hyperlink" Target="#Analysis!A1"/><Relationship Id="rId17" Type="http://schemas.openxmlformats.org/officeDocument/2006/relationships/image" Target="../media/image8.svg"/><Relationship Id="rId2" Type="http://schemas.openxmlformats.org/officeDocument/2006/relationships/chart" Target="../charts/chart2.xml"/><Relationship Id="rId16" Type="http://schemas.openxmlformats.org/officeDocument/2006/relationships/image" Target="../media/image7.png"/><Relationship Id="rId20" Type="http://schemas.openxmlformats.org/officeDocument/2006/relationships/image" Target="../media/image10.svg"/><Relationship Id="rId1" Type="http://schemas.openxmlformats.org/officeDocument/2006/relationships/chart" Target="../charts/chart1.xml"/><Relationship Id="rId6" Type="http://schemas.openxmlformats.org/officeDocument/2006/relationships/hyperlink" Target="#Welcome!A1"/><Relationship Id="rId11" Type="http://schemas.openxmlformats.org/officeDocument/2006/relationships/image" Target="../media/image4.svg"/><Relationship Id="rId5" Type="http://schemas.openxmlformats.org/officeDocument/2006/relationships/chart" Target="../charts/chart5.xml"/><Relationship Id="rId15" Type="http://schemas.openxmlformats.org/officeDocument/2006/relationships/hyperlink" Target="#Reports!A1"/><Relationship Id="rId23" Type="http://schemas.microsoft.com/office/2014/relationships/chartEx" Target="../charts/chartEx1.xml"/><Relationship Id="rId10" Type="http://schemas.openxmlformats.org/officeDocument/2006/relationships/image" Target="../media/image3.png"/><Relationship Id="rId19" Type="http://schemas.openxmlformats.org/officeDocument/2006/relationships/image" Target="../media/image9.png"/><Relationship Id="rId4" Type="http://schemas.openxmlformats.org/officeDocument/2006/relationships/chart" Target="../charts/chart4.xml"/><Relationship Id="rId9" Type="http://schemas.openxmlformats.org/officeDocument/2006/relationships/hyperlink" Target="#'Data entry'!A1"/><Relationship Id="rId14" Type="http://schemas.openxmlformats.org/officeDocument/2006/relationships/image" Target="../media/image6.svg"/><Relationship Id="rId22" Type="http://schemas.openxmlformats.org/officeDocument/2006/relationships/image" Target="../media/image11.png"/></Relationships>
</file>

<file path=xl/drawings/_rels/drawing6.xml.rels><?xml version="1.0" encoding="UTF-8" standalone="yes"?>
<Relationships xmlns="http://schemas.openxmlformats.org/package/2006/relationships"><Relationship Id="rId8" Type="http://schemas.openxmlformats.org/officeDocument/2006/relationships/image" Target="../media/image5.png"/><Relationship Id="rId13" Type="http://schemas.openxmlformats.org/officeDocument/2006/relationships/hyperlink" Target="#'Set up'!A1"/><Relationship Id="rId3" Type="http://schemas.openxmlformats.org/officeDocument/2006/relationships/image" Target="../media/image2.svg"/><Relationship Id="rId7" Type="http://schemas.openxmlformats.org/officeDocument/2006/relationships/hyperlink" Target="#Analysis!A1"/><Relationship Id="rId12" Type="http://schemas.openxmlformats.org/officeDocument/2006/relationships/image" Target="../media/image8.svg"/><Relationship Id="rId2" Type="http://schemas.openxmlformats.org/officeDocument/2006/relationships/image" Target="../media/image1.png"/><Relationship Id="rId16" Type="http://schemas.openxmlformats.org/officeDocument/2006/relationships/image" Target="../media/image11.png"/><Relationship Id="rId1" Type="http://schemas.openxmlformats.org/officeDocument/2006/relationships/hyperlink" Target="#Welcome!A1"/><Relationship Id="rId6" Type="http://schemas.openxmlformats.org/officeDocument/2006/relationships/image" Target="../media/image4.svg"/><Relationship Id="rId11" Type="http://schemas.openxmlformats.org/officeDocument/2006/relationships/image" Target="../media/image7.png"/><Relationship Id="rId5" Type="http://schemas.openxmlformats.org/officeDocument/2006/relationships/image" Target="../media/image3.png"/><Relationship Id="rId15" Type="http://schemas.openxmlformats.org/officeDocument/2006/relationships/image" Target="../media/image10.svg"/><Relationship Id="rId10" Type="http://schemas.openxmlformats.org/officeDocument/2006/relationships/hyperlink" Target="#Reports!A1"/><Relationship Id="rId4" Type="http://schemas.openxmlformats.org/officeDocument/2006/relationships/hyperlink" Target="#'Data entry'!A1"/><Relationship Id="rId9" Type="http://schemas.openxmlformats.org/officeDocument/2006/relationships/image" Target="../media/image6.svg"/><Relationship Id="rId14" Type="http://schemas.openxmlformats.org/officeDocument/2006/relationships/image" Target="../media/image9.png"/></Relationships>
</file>

<file path=xl/drawings/_rels/drawing7.xml.rels><?xml version="1.0" encoding="UTF-8" standalone="yes"?>
<Relationships xmlns="http://schemas.openxmlformats.org/package/2006/relationships"><Relationship Id="rId2" Type="http://schemas.openxmlformats.org/officeDocument/2006/relationships/hyperlink" Target="#'Data entry'!A1"/><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587828</xdr:colOff>
      <xdr:row>72</xdr:row>
      <xdr:rowOff>4355</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0" y="0"/>
          <a:ext cx="1807028" cy="13034555"/>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247650</xdr:colOff>
      <xdr:row>0</xdr:row>
      <xdr:rowOff>19683</xdr:rowOff>
    </xdr:from>
    <xdr:to>
      <xdr:col>29</xdr:col>
      <xdr:colOff>30079</xdr:colOff>
      <xdr:row>5</xdr:row>
      <xdr:rowOff>21227</xdr:rowOff>
    </xdr:to>
    <xdr:sp macro="" textlink="">
      <xdr:nvSpPr>
        <xdr:cNvPr id="3" name="Rectangle: Rounded Corners 2">
          <a:extLst>
            <a:ext uri="{FF2B5EF4-FFF2-40B4-BE49-F238E27FC236}">
              <a16:creationId xmlns:a16="http://schemas.microsoft.com/office/drawing/2014/main" id="{00000000-0008-0000-0100-000003000000}"/>
            </a:ext>
          </a:extLst>
        </xdr:cNvPr>
        <xdr:cNvSpPr/>
      </xdr:nvSpPr>
      <xdr:spPr>
        <a:xfrm>
          <a:off x="2082466" y="19683"/>
          <a:ext cx="15393402" cy="903912"/>
        </a:xfrm>
        <a:prstGeom prst="roundRect">
          <a:avLst/>
        </a:prstGeom>
        <a:solidFill>
          <a:srgbClr val="FF0000"/>
        </a:solidFill>
        <a:ln w="76200">
          <a:noFill/>
        </a:ln>
        <a:effectLst>
          <a:glow rad="139700">
            <a:srgbClr val="FF0000">
              <a:alpha val="40000"/>
            </a:srgbClr>
          </a:glow>
        </a:effectLst>
        <a:scene3d>
          <a:camera prst="orthographicFront">
            <a:rot lat="0" lon="0" rev="0"/>
          </a:camera>
          <a:lightRig rig="glow" dir="t">
            <a:rot lat="0" lon="0" rev="14100000"/>
          </a:lightRig>
        </a:scene3d>
        <a:sp3d prstMaterial="softEdge">
          <a:bevelT w="127000" prst="artDeco"/>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GB" sz="1100">
            <a:solidFill>
              <a:schemeClr val="tx1"/>
            </a:solidFill>
          </a:endParaRPr>
        </a:p>
      </xdr:txBody>
    </xdr:sp>
    <xdr:clientData/>
  </xdr:twoCellAnchor>
  <xdr:twoCellAnchor>
    <xdr:from>
      <xdr:col>7</xdr:col>
      <xdr:colOff>38101</xdr:colOff>
      <xdr:row>1</xdr:row>
      <xdr:rowOff>80</xdr:rowOff>
    </xdr:from>
    <xdr:to>
      <xdr:col>24</xdr:col>
      <xdr:colOff>597122</xdr:colOff>
      <xdr:row>4</xdr:row>
      <xdr:rowOff>47625</xdr:rowOff>
    </xdr:to>
    <xdr:sp macro="" textlink="">
      <xdr:nvSpPr>
        <xdr:cNvPr id="19" name="TextBox 18">
          <a:extLst>
            <a:ext uri="{FF2B5EF4-FFF2-40B4-BE49-F238E27FC236}">
              <a16:creationId xmlns:a16="http://schemas.microsoft.com/office/drawing/2014/main" id="{00000000-0008-0000-0100-000013000000}"/>
            </a:ext>
          </a:extLst>
        </xdr:cNvPr>
        <xdr:cNvSpPr txBox="1"/>
      </xdr:nvSpPr>
      <xdr:spPr>
        <a:xfrm>
          <a:off x="4305301" y="181055"/>
          <a:ext cx="10607896" cy="590470"/>
        </a:xfrm>
        <a:prstGeom prst="rect">
          <a:avLst/>
        </a:prstGeom>
        <a:noFill/>
        <a:ln w="9525" cmpd="sng">
          <a:no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tx1"/>
              </a:solidFill>
              <a:latin typeface="Tahoma" panose="020B0604030504040204" pitchFamily="34" charset="0"/>
              <a:ea typeface="Tahoma" panose="020B0604030504040204" pitchFamily="34" charset="0"/>
              <a:cs typeface="Tahoma" panose="020B0604030504040204" pitchFamily="34" charset="0"/>
            </a:rPr>
            <a:t>PSI-SUSAS Membership Data Management System</a:t>
          </a:r>
          <a:endParaRPr lang="en-GB" sz="3200" b="1">
            <a:solidFill>
              <a:schemeClr val="tx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5</xdr:col>
      <xdr:colOff>476250</xdr:colOff>
      <xdr:row>14</xdr:row>
      <xdr:rowOff>0</xdr:rowOff>
    </xdr:from>
    <xdr:to>
      <xdr:col>27</xdr:col>
      <xdr:colOff>19050</xdr:colOff>
      <xdr:row>49</xdr:row>
      <xdr:rowOff>32657</xdr:rowOff>
    </xdr:to>
    <xdr:sp macro="" textlink="">
      <xdr:nvSpPr>
        <xdr:cNvPr id="29" name="TextBox 28">
          <a:extLst>
            <a:ext uri="{FF2B5EF4-FFF2-40B4-BE49-F238E27FC236}">
              <a16:creationId xmlns:a16="http://schemas.microsoft.com/office/drawing/2014/main" id="{00000000-0008-0000-0100-00001D000000}"/>
            </a:ext>
          </a:extLst>
        </xdr:cNvPr>
        <xdr:cNvSpPr txBox="1"/>
      </xdr:nvSpPr>
      <xdr:spPr>
        <a:xfrm>
          <a:off x="3524250" y="2533650"/>
          <a:ext cx="12668250" cy="63667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800" b="1" i="0" u="none" strike="noStrike">
              <a:solidFill>
                <a:schemeClr val="dk1"/>
              </a:solidFill>
              <a:effectLst/>
              <a:latin typeface="+mn-lt"/>
              <a:ea typeface="+mn-ea"/>
              <a:cs typeface="Times New Roman" panose="02020603050405020304" pitchFamily="18" charset="0"/>
            </a:rPr>
            <a:t>Welcome to The PSI-SUSAS Membership data management system.</a:t>
          </a:r>
          <a:br>
            <a:rPr lang="en-US" sz="1800" b="1" i="0" u="none" strike="noStrike">
              <a:solidFill>
                <a:schemeClr val="dk1"/>
              </a:solidFill>
              <a:effectLst/>
              <a:latin typeface="+mn-lt"/>
              <a:ea typeface="+mn-ea"/>
              <a:cs typeface="Times New Roman" panose="02020603050405020304" pitchFamily="18" charset="0"/>
            </a:rPr>
          </a:br>
          <a:br>
            <a:rPr lang="en-US" sz="1800" b="1" i="0" u="none" strike="noStrike">
              <a:solidFill>
                <a:schemeClr val="dk1"/>
              </a:solidFill>
              <a:effectLst/>
              <a:latin typeface="+mn-lt"/>
              <a:ea typeface="+mn-ea"/>
              <a:cs typeface="Times New Roman" panose="02020603050405020304" pitchFamily="18" charset="0"/>
            </a:rPr>
          </a:br>
          <a:r>
            <a:rPr lang="en-US" sz="1800" b="1" i="0" u="none" strike="noStrike">
              <a:solidFill>
                <a:schemeClr val="dk1"/>
              </a:solidFill>
              <a:effectLst/>
              <a:latin typeface="+mn-lt"/>
              <a:ea typeface="+mn-ea"/>
              <a:cs typeface="Times New Roman" panose="02020603050405020304" pitchFamily="18" charset="0"/>
            </a:rPr>
            <a:t>The sun dipped below the horizon, painting the sky with hues of orange and pink. A gentle breeze swept through the trees, rustling the leaves like a whispered conversation. The library was silent except for the occasional sound of pages turning and pens scratching. She poured her coffee slowly, watching the steam rise in delicate spirals. Time seemed to stretch endlessly as they waited for the train to arrive. A stack of old photographs lay on the table, each one telling a story long forgotten. He adjusted his glasses and glanced at the clock, realizing he was late once again. The scent of fresh rain lingered in the air, mingling with the earthy aroma of the forest. Her laughter echoed through the room, light and carefre, as if it could chase away the gloom. A sindarkness, casting elongated shadows on the walls.
</a:t>
          </a:r>
          <a:br>
            <a:rPr lang="en-US" sz="1800" b="1" i="0" u="none" strike="noStrike">
              <a:solidFill>
                <a:schemeClr val="dk1"/>
              </a:solidFill>
              <a:effectLst/>
              <a:latin typeface="+mn-lt"/>
              <a:ea typeface="+mn-ea"/>
              <a:cs typeface="Times New Roman" panose="02020603050405020304" pitchFamily="18" charset="0"/>
            </a:rPr>
          </a:br>
          <a:br>
            <a:rPr lang="en-US" sz="1800" b="1" i="0" u="none" strike="noStrike">
              <a:solidFill>
                <a:schemeClr val="dk1"/>
              </a:solidFill>
              <a:effectLst/>
              <a:latin typeface="+mn-lt"/>
              <a:ea typeface="+mn-ea"/>
              <a:cs typeface="Times New Roman" panose="02020603050405020304" pitchFamily="18" charset="0"/>
            </a:rPr>
          </a:br>
          <a:endParaRPr lang="en-GB" sz="1800" b="1" u="sng">
            <a:latin typeface="+mn-lt"/>
            <a:cs typeface="Times New Roman" panose="02020603050405020304" pitchFamily="18" charset="0"/>
          </a:endParaRPr>
        </a:p>
      </xdr:txBody>
    </xdr:sp>
    <xdr:clientData/>
  </xdr:twoCellAnchor>
  <mc:AlternateContent xmlns:mc="http://schemas.openxmlformats.org/markup-compatibility/2006">
    <mc:Choice xmlns:a14="http://schemas.microsoft.com/office/drawing/2010/main" Requires="a14">
      <xdr:twoCellAnchor editAs="oneCell">
        <xdr:from>
          <xdr:col>24</xdr:col>
          <xdr:colOff>133350</xdr:colOff>
          <xdr:row>6</xdr:row>
          <xdr:rowOff>133350</xdr:rowOff>
        </xdr:from>
        <xdr:to>
          <xdr:col>26</xdr:col>
          <xdr:colOff>171450</xdr:colOff>
          <xdr:row>8</xdr:row>
          <xdr:rowOff>0</xdr:rowOff>
        </xdr:to>
        <xdr:sp macro="" textlink="">
          <xdr:nvSpPr>
            <xdr:cNvPr id="1025" name="Languag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twoCellAnchor>
    <xdr:from>
      <xdr:col>0</xdr:col>
      <xdr:colOff>50890</xdr:colOff>
      <xdr:row>8</xdr:row>
      <xdr:rowOff>57150</xdr:rowOff>
    </xdr:from>
    <xdr:to>
      <xdr:col>2</xdr:col>
      <xdr:colOff>209546</xdr:colOff>
      <xdr:row>11</xdr:row>
      <xdr:rowOff>19051</xdr:rowOff>
    </xdr:to>
    <xdr:grpSp>
      <xdr:nvGrpSpPr>
        <xdr:cNvPr id="56" name="Group 55">
          <a:hlinkClick xmlns:r="http://schemas.openxmlformats.org/officeDocument/2006/relationships" r:id="rId1"/>
          <a:extLst>
            <a:ext uri="{FF2B5EF4-FFF2-40B4-BE49-F238E27FC236}">
              <a16:creationId xmlns:a16="http://schemas.microsoft.com/office/drawing/2014/main" id="{00000000-0008-0000-0100-000038000000}"/>
            </a:ext>
          </a:extLst>
        </xdr:cNvPr>
        <xdr:cNvGrpSpPr/>
      </xdr:nvGrpSpPr>
      <xdr:grpSpPr>
        <a:xfrm>
          <a:off x="50890" y="1581150"/>
          <a:ext cx="1349281" cy="533401"/>
          <a:chOff x="236220" y="1135380"/>
          <a:chExt cx="2111570" cy="762002"/>
        </a:xfrm>
      </xdr:grpSpPr>
      <xdr:sp macro="" textlink="">
        <xdr:nvSpPr>
          <xdr:cNvPr id="57" name="TextBox 56">
            <a:extLst>
              <a:ext uri="{FF2B5EF4-FFF2-40B4-BE49-F238E27FC236}">
                <a16:creationId xmlns:a16="http://schemas.microsoft.com/office/drawing/2014/main" id="{00000000-0008-0000-0100-000039000000}"/>
              </a:ext>
            </a:extLst>
          </xdr:cNvPr>
          <xdr:cNvSpPr txBox="1"/>
        </xdr:nvSpPr>
        <xdr:spPr>
          <a:xfrm>
            <a:off x="823793" y="1363981"/>
            <a:ext cx="1523997"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rthographicFront"/>
              <a:lightRig rig="soft" dir="t">
                <a:rot lat="0" lon="0" rev="15600000"/>
              </a:lightRig>
            </a:scene3d>
            <a:sp3d extrusionH="57150" prstMaterial="softEdge">
              <a:bevelT w="25400" h="38100"/>
            </a:sp3d>
          </a:bodyPr>
          <a:lstStyle/>
          <a:p>
            <a:r>
              <a:rPr lang="en-US" sz="2000" b="1" cap="none" spc="0" baseline="0">
                <a:ln/>
                <a:solidFill>
                  <a:srgbClr val="FF0000"/>
                </a:solidFill>
                <a:effectLst/>
                <a:latin typeface="Tahoma" panose="020B0604030504040204" pitchFamily="34" charset="0"/>
                <a:ea typeface="Tahoma" panose="020B0604030504040204" pitchFamily="34" charset="0"/>
                <a:cs typeface="Tahoma" panose="020B0604030504040204" pitchFamily="34" charset="0"/>
              </a:rPr>
              <a:t>Home</a:t>
            </a:r>
            <a:endParaRPr lang="en-GB" sz="2000" b="1" cap="none" spc="0" baseline="0">
              <a:ln/>
              <a:solidFill>
                <a:srgbClr val="FF0000"/>
              </a:solidFill>
              <a:effectLst/>
              <a:latin typeface="Tahoma" panose="020B0604030504040204" pitchFamily="34" charset="0"/>
              <a:ea typeface="Tahoma" panose="020B0604030504040204" pitchFamily="34" charset="0"/>
              <a:cs typeface="Tahoma" panose="020B0604030504040204" pitchFamily="34" charset="0"/>
            </a:endParaRPr>
          </a:p>
        </xdr:txBody>
      </xdr:sp>
      <xdr:pic>
        <xdr:nvPicPr>
          <xdr:cNvPr id="58" name="Graphic 57" descr="Home">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36220" y="1135380"/>
            <a:ext cx="759600" cy="759600"/>
          </a:xfrm>
          <a:prstGeom prst="rect">
            <a:avLst/>
          </a:prstGeom>
        </xdr:spPr>
      </xdr:pic>
    </xdr:grpSp>
    <xdr:clientData/>
  </xdr:twoCellAnchor>
  <xdr:twoCellAnchor>
    <xdr:from>
      <xdr:col>0</xdr:col>
      <xdr:colOff>0</xdr:colOff>
      <xdr:row>12</xdr:row>
      <xdr:rowOff>171450</xdr:rowOff>
    </xdr:from>
    <xdr:to>
      <xdr:col>3</xdr:col>
      <xdr:colOff>9524</xdr:colOff>
      <xdr:row>15</xdr:row>
      <xdr:rowOff>114301</xdr:rowOff>
    </xdr:to>
    <xdr:grpSp>
      <xdr:nvGrpSpPr>
        <xdr:cNvPr id="59" name="Group 58">
          <a:extLst>
            <a:ext uri="{FF2B5EF4-FFF2-40B4-BE49-F238E27FC236}">
              <a16:creationId xmlns:a16="http://schemas.microsoft.com/office/drawing/2014/main" id="{00000000-0008-0000-0100-00003B000000}"/>
            </a:ext>
          </a:extLst>
        </xdr:cNvPr>
        <xdr:cNvGrpSpPr/>
      </xdr:nvGrpSpPr>
      <xdr:grpSpPr>
        <a:xfrm>
          <a:off x="0" y="2457450"/>
          <a:ext cx="1795462" cy="514351"/>
          <a:chOff x="243840" y="2095500"/>
          <a:chExt cx="2455724" cy="739140"/>
        </a:xfrm>
        <a:solidFill>
          <a:srgbClr val="FF0000"/>
        </a:solidFill>
      </xdr:grpSpPr>
      <xdr:sp macro="" textlink="">
        <xdr:nvSpPr>
          <xdr:cNvPr id="60" name="TextBox 59">
            <a:hlinkClick xmlns:r="http://schemas.openxmlformats.org/officeDocument/2006/relationships" r:id="rId4"/>
            <a:extLst>
              <a:ext uri="{FF2B5EF4-FFF2-40B4-BE49-F238E27FC236}">
                <a16:creationId xmlns:a16="http://schemas.microsoft.com/office/drawing/2014/main" id="{00000000-0008-0000-0100-00003C000000}"/>
              </a:ext>
            </a:extLst>
          </xdr:cNvPr>
          <xdr:cNvSpPr txBox="1"/>
        </xdr:nvSpPr>
        <xdr:spPr>
          <a:xfrm>
            <a:off x="819292" y="2274885"/>
            <a:ext cx="1880272"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Data entry</a:t>
            </a:r>
            <a:endParaRPr lang="en-GB" sz="16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61" name="Graphic 60" descr="Checklist">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43840" y="2095500"/>
            <a:ext cx="739140" cy="739140"/>
          </a:xfrm>
          <a:prstGeom prst="rect">
            <a:avLst/>
          </a:prstGeom>
        </xdr:spPr>
      </xdr:pic>
    </xdr:grpSp>
    <xdr:clientData/>
  </xdr:twoCellAnchor>
  <xdr:twoCellAnchor>
    <xdr:from>
      <xdr:col>0</xdr:col>
      <xdr:colOff>1362</xdr:colOff>
      <xdr:row>17</xdr:row>
      <xdr:rowOff>121885</xdr:rowOff>
    </xdr:from>
    <xdr:to>
      <xdr:col>3</xdr:col>
      <xdr:colOff>1</xdr:colOff>
      <xdr:row>20</xdr:row>
      <xdr:rowOff>85729</xdr:rowOff>
    </xdr:to>
    <xdr:grpSp>
      <xdr:nvGrpSpPr>
        <xdr:cNvPr id="62" name="Group 61">
          <a:extLst>
            <a:ext uri="{FF2B5EF4-FFF2-40B4-BE49-F238E27FC236}">
              <a16:creationId xmlns:a16="http://schemas.microsoft.com/office/drawing/2014/main" id="{00000000-0008-0000-0100-00003E000000}"/>
            </a:ext>
          </a:extLst>
        </xdr:cNvPr>
        <xdr:cNvGrpSpPr/>
      </xdr:nvGrpSpPr>
      <xdr:grpSpPr>
        <a:xfrm>
          <a:off x="1362" y="3360385"/>
          <a:ext cx="1784577" cy="535344"/>
          <a:chOff x="251461" y="3340026"/>
          <a:chExt cx="2368452" cy="584274"/>
        </a:xfrm>
      </xdr:grpSpPr>
      <xdr:sp macro="" textlink="">
        <xdr:nvSpPr>
          <xdr:cNvPr id="63" name="TextBox 62">
            <a:hlinkClick xmlns:r="http://schemas.openxmlformats.org/officeDocument/2006/relationships" r:id="rId7"/>
            <a:extLst>
              <a:ext uri="{FF2B5EF4-FFF2-40B4-BE49-F238E27FC236}">
                <a16:creationId xmlns:a16="http://schemas.microsoft.com/office/drawing/2014/main" id="{00000000-0008-0000-0100-00003F000000}"/>
              </a:ext>
            </a:extLst>
          </xdr:cNvPr>
          <xdr:cNvSpPr txBox="1"/>
        </xdr:nvSpPr>
        <xdr:spPr>
          <a:xfrm>
            <a:off x="762601" y="3340026"/>
            <a:ext cx="1857312"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Analysis</a:t>
            </a:r>
            <a:endParaRPr lang="en-GB" sz="16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64" name="Graphic 63" descr="Bar graph with upward trend">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51461" y="3342265"/>
            <a:ext cx="626747" cy="582035"/>
          </a:xfrm>
          <a:prstGeom prst="rect">
            <a:avLst/>
          </a:prstGeom>
        </xdr:spPr>
      </xdr:pic>
    </xdr:grpSp>
    <xdr:clientData/>
  </xdr:twoCellAnchor>
  <xdr:twoCellAnchor>
    <xdr:from>
      <xdr:col>0</xdr:col>
      <xdr:colOff>5714</xdr:colOff>
      <xdr:row>22</xdr:row>
      <xdr:rowOff>38936</xdr:rowOff>
    </xdr:from>
    <xdr:to>
      <xdr:col>2</xdr:col>
      <xdr:colOff>581025</xdr:colOff>
      <xdr:row>25</xdr:row>
      <xdr:rowOff>57158</xdr:rowOff>
    </xdr:to>
    <xdr:grpSp>
      <xdr:nvGrpSpPr>
        <xdr:cNvPr id="65" name="Group 64">
          <a:extLst>
            <a:ext uri="{FF2B5EF4-FFF2-40B4-BE49-F238E27FC236}">
              <a16:creationId xmlns:a16="http://schemas.microsoft.com/office/drawing/2014/main" id="{00000000-0008-0000-0100-000041000000}"/>
            </a:ext>
          </a:extLst>
        </xdr:cNvPr>
        <xdr:cNvGrpSpPr/>
      </xdr:nvGrpSpPr>
      <xdr:grpSpPr>
        <a:xfrm>
          <a:off x="5714" y="4229936"/>
          <a:ext cx="1765936" cy="589722"/>
          <a:chOff x="281940" y="4292442"/>
          <a:chExt cx="2001900" cy="645318"/>
        </a:xfrm>
      </xdr:grpSpPr>
      <xdr:sp macro="" textlink="">
        <xdr:nvSpPr>
          <xdr:cNvPr id="66" name="TextBox 65">
            <a:hlinkClick xmlns:r="http://schemas.openxmlformats.org/officeDocument/2006/relationships" r:id="rId10"/>
            <a:extLst>
              <a:ext uri="{FF2B5EF4-FFF2-40B4-BE49-F238E27FC236}">
                <a16:creationId xmlns:a16="http://schemas.microsoft.com/office/drawing/2014/main" id="{00000000-0008-0000-0100-000042000000}"/>
              </a:ext>
            </a:extLst>
          </xdr:cNvPr>
          <xdr:cNvSpPr txBox="1"/>
        </xdr:nvSpPr>
        <xdr:spPr>
          <a:xfrm>
            <a:off x="759837" y="4292442"/>
            <a:ext cx="1524003" cy="533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Reports</a:t>
            </a:r>
            <a:endParaRPr lang="en-GB" sz="12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67" name="Graphic 66" descr="Presentation with bar chart RTL">
            <a:extLst>
              <a:ext uri="{FF2B5EF4-FFF2-40B4-BE49-F238E27FC236}">
                <a16:creationId xmlns:a16="http://schemas.microsoft.com/office/drawing/2014/main" id="{00000000-0008-0000-0100-000043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81940" y="4327839"/>
            <a:ext cx="609921" cy="609921"/>
          </a:xfrm>
          <a:prstGeom prst="rect">
            <a:avLst/>
          </a:prstGeom>
        </xdr:spPr>
      </xdr:pic>
    </xdr:grpSp>
    <xdr:clientData/>
  </xdr:twoCellAnchor>
  <xdr:twoCellAnchor>
    <xdr:from>
      <xdr:col>0</xdr:col>
      <xdr:colOff>47626</xdr:colOff>
      <xdr:row>26</xdr:row>
      <xdr:rowOff>171450</xdr:rowOff>
    </xdr:from>
    <xdr:to>
      <xdr:col>2</xdr:col>
      <xdr:colOff>409587</xdr:colOff>
      <xdr:row>29</xdr:row>
      <xdr:rowOff>28575</xdr:rowOff>
    </xdr:to>
    <xdr:grpSp>
      <xdr:nvGrpSpPr>
        <xdr:cNvPr id="68" name="Group 67">
          <a:extLst>
            <a:ext uri="{FF2B5EF4-FFF2-40B4-BE49-F238E27FC236}">
              <a16:creationId xmlns:a16="http://schemas.microsoft.com/office/drawing/2014/main" id="{00000000-0008-0000-0100-000044000000}"/>
            </a:ext>
          </a:extLst>
        </xdr:cNvPr>
        <xdr:cNvGrpSpPr/>
      </xdr:nvGrpSpPr>
      <xdr:grpSpPr>
        <a:xfrm>
          <a:off x="47626" y="5124450"/>
          <a:ext cx="1552586" cy="428625"/>
          <a:chOff x="281940" y="5143500"/>
          <a:chExt cx="2085783" cy="716280"/>
        </a:xfrm>
        <a:solidFill>
          <a:srgbClr val="E84646"/>
        </a:solidFill>
      </xdr:grpSpPr>
      <xdr:sp macro="" textlink="">
        <xdr:nvSpPr>
          <xdr:cNvPr id="69" name="TextBox 68">
            <a:hlinkClick xmlns:r="http://schemas.openxmlformats.org/officeDocument/2006/relationships" r:id="rId13"/>
            <a:extLst>
              <a:ext uri="{FF2B5EF4-FFF2-40B4-BE49-F238E27FC236}">
                <a16:creationId xmlns:a16="http://schemas.microsoft.com/office/drawing/2014/main" id="{00000000-0008-0000-0100-000045000000}"/>
              </a:ext>
            </a:extLst>
          </xdr:cNvPr>
          <xdr:cNvSpPr txBox="1"/>
        </xdr:nvSpPr>
        <xdr:spPr>
          <a:xfrm>
            <a:off x="843711" y="5242560"/>
            <a:ext cx="1524012"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Setup</a:t>
            </a:r>
            <a:endParaRPr lang="en-GB" sz="12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70" name="Graphic 69" descr="Single gear">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81940" y="5143500"/>
            <a:ext cx="716280" cy="716280"/>
          </a:xfrm>
          <a:prstGeom prst="rect">
            <a:avLst/>
          </a:prstGeom>
        </xdr:spPr>
      </xdr:pic>
    </xdr:grpSp>
    <xdr:clientData/>
  </xdr:twoCellAnchor>
  <xdr:twoCellAnchor editAs="oneCell">
    <xdr:from>
      <xdr:col>0</xdr:col>
      <xdr:colOff>77229</xdr:colOff>
      <xdr:row>0</xdr:row>
      <xdr:rowOff>0</xdr:rowOff>
    </xdr:from>
    <xdr:to>
      <xdr:col>2</xdr:col>
      <xdr:colOff>390525</xdr:colOff>
      <xdr:row>7</xdr:row>
      <xdr:rowOff>161924</xdr:rowOff>
    </xdr:to>
    <xdr:pic>
      <xdr:nvPicPr>
        <xdr:cNvPr id="71" name="Picture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77229" y="0"/>
          <a:ext cx="1532496" cy="142874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3</xdr:col>
      <xdr:colOff>381000</xdr:colOff>
      <xdr:row>0</xdr:row>
      <xdr:rowOff>0</xdr:rowOff>
    </xdr:from>
    <xdr:to>
      <xdr:col>29</xdr:col>
      <xdr:colOff>171450</xdr:colOff>
      <xdr:row>5</xdr:row>
      <xdr:rowOff>1544</xdr:rowOff>
    </xdr:to>
    <xdr:sp macro="" textlink="">
      <xdr:nvSpPr>
        <xdr:cNvPr id="26" name="Rectangle: Rounded Corners 25">
          <a:extLst>
            <a:ext uri="{FF2B5EF4-FFF2-40B4-BE49-F238E27FC236}">
              <a16:creationId xmlns:a16="http://schemas.microsoft.com/office/drawing/2014/main" id="{00000000-0008-0000-0200-00001A000000}"/>
            </a:ext>
          </a:extLst>
        </xdr:cNvPr>
        <xdr:cNvSpPr/>
      </xdr:nvSpPr>
      <xdr:spPr>
        <a:xfrm>
          <a:off x="2181225" y="0"/>
          <a:ext cx="15430500" cy="906419"/>
        </a:xfrm>
        <a:prstGeom prst="roundRect">
          <a:avLst/>
        </a:prstGeom>
        <a:solidFill>
          <a:srgbClr val="FF0000"/>
        </a:solidFill>
        <a:ln w="76200">
          <a:noFill/>
        </a:ln>
        <a:effectLst>
          <a:glow rad="139700">
            <a:srgbClr val="FF0000">
              <a:alpha val="40000"/>
            </a:srgbClr>
          </a:glow>
        </a:effectLst>
        <a:scene3d>
          <a:camera prst="orthographicFront">
            <a:rot lat="0" lon="0" rev="0"/>
          </a:camera>
          <a:lightRig rig="glow" dir="t">
            <a:rot lat="0" lon="0" rev="14100000"/>
          </a:lightRig>
        </a:scene3d>
        <a:sp3d prstMaterial="softEdge">
          <a:bevelT w="127000" prst="artDeco"/>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10886</xdr:colOff>
      <xdr:row>0</xdr:row>
      <xdr:rowOff>1360</xdr:rowOff>
    </xdr:from>
    <xdr:to>
      <xdr:col>2</xdr:col>
      <xdr:colOff>598714</xdr:colOff>
      <xdr:row>112</xdr:row>
      <xdr:rowOff>76200</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10886" y="1360"/>
          <a:ext cx="1807028" cy="2653148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372745</xdr:colOff>
      <xdr:row>6</xdr:row>
      <xdr:rowOff>0</xdr:rowOff>
    </xdr:from>
    <xdr:to>
      <xdr:col>5</xdr:col>
      <xdr:colOff>466725</xdr:colOff>
      <xdr:row>8</xdr:row>
      <xdr:rowOff>65829</xdr:rowOff>
    </xdr:to>
    <xdr:sp macro="" textlink="">
      <xdr:nvSpPr>
        <xdr:cNvPr id="25" name="TextBox 24">
          <a:hlinkClick xmlns:r="http://schemas.openxmlformats.org/officeDocument/2006/relationships" r:id="rId1"/>
          <a:extLst>
            <a:ext uri="{FF2B5EF4-FFF2-40B4-BE49-F238E27FC236}">
              <a16:creationId xmlns:a16="http://schemas.microsoft.com/office/drawing/2014/main" id="{00000000-0008-0000-0200-000019000000}"/>
            </a:ext>
          </a:extLst>
        </xdr:cNvPr>
        <xdr:cNvSpPr txBox="1"/>
      </xdr:nvSpPr>
      <xdr:spPr>
        <a:xfrm>
          <a:off x="2172970" y="1316990"/>
          <a:ext cx="1332230" cy="558589"/>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100000" t="100000"/>
          </a:path>
          <a:tileRect r="-100000" b="-100000"/>
        </a:gradFill>
        <a:ln w="9525" cmpd="sng">
          <a:solidFill>
            <a:schemeClr val="tx2">
              <a:lumMod val="75000"/>
            </a:schemeClr>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cap="none" spc="0">
              <a:ln w="0">
                <a:solidFill>
                  <a:schemeClr val="tx2">
                    <a:lumMod val="75000"/>
                  </a:schemeClr>
                </a:solidFill>
              </a:ln>
              <a:solidFill>
                <a:schemeClr val="tx1"/>
              </a:solidFill>
              <a:effectLst>
                <a:outerShdw blurRad="38100" dist="19050" dir="2700000" algn="tl" rotWithShape="0">
                  <a:schemeClr val="dk1">
                    <a:alpha val="40000"/>
                  </a:schemeClr>
                </a:outerShdw>
              </a:effectLst>
              <a:latin typeface="Arial Black" panose="020B0A04020102020204" pitchFamily="34" charset="0"/>
            </a:rPr>
            <a:t>Database</a:t>
          </a:r>
          <a:endParaRPr lang="en-GB" sz="1400" b="0" cap="none" spc="0">
            <a:ln w="0">
              <a:solidFill>
                <a:schemeClr val="tx2">
                  <a:lumMod val="75000"/>
                </a:schemeClr>
              </a:solidFill>
            </a:ln>
            <a:solidFill>
              <a:schemeClr val="tx1"/>
            </a:solidFill>
            <a:effectLst>
              <a:glow rad="63500">
                <a:srgbClr val="FF0000">
                  <a:alpha val="40000"/>
                </a:srgbClr>
              </a:glow>
              <a:outerShdw blurRad="38100" dist="19050" dir="2700000" algn="tl" rotWithShape="0">
                <a:schemeClr val="dk1">
                  <a:alpha val="40000"/>
                </a:schemeClr>
              </a:outerShdw>
            </a:effectLst>
            <a:latin typeface="Arial Black" panose="020B0A04020102020204" pitchFamily="34" charset="0"/>
          </a:endParaRPr>
        </a:p>
      </xdr:txBody>
    </xdr:sp>
    <xdr:clientData/>
  </xdr:twoCellAnchor>
  <xdr:twoCellAnchor>
    <xdr:from>
      <xdr:col>7</xdr:col>
      <xdr:colOff>123825</xdr:colOff>
      <xdr:row>0</xdr:row>
      <xdr:rowOff>95250</xdr:rowOff>
    </xdr:from>
    <xdr:to>
      <xdr:col>25</xdr:col>
      <xdr:colOff>314325</xdr:colOff>
      <xdr:row>3</xdr:row>
      <xdr:rowOff>142795</xdr:rowOff>
    </xdr:to>
    <xdr:sp macro="" textlink="">
      <xdr:nvSpPr>
        <xdr:cNvPr id="91" name="TextBox 90">
          <a:extLst>
            <a:ext uri="{FF2B5EF4-FFF2-40B4-BE49-F238E27FC236}">
              <a16:creationId xmlns:a16="http://schemas.microsoft.com/office/drawing/2014/main" id="{00000000-0008-0000-0200-00005B000000}"/>
            </a:ext>
          </a:extLst>
        </xdr:cNvPr>
        <xdr:cNvSpPr txBox="1"/>
      </xdr:nvSpPr>
      <xdr:spPr>
        <a:xfrm>
          <a:off x="4362450" y="95250"/>
          <a:ext cx="10991850" cy="590470"/>
        </a:xfrm>
        <a:prstGeom prst="rect">
          <a:avLst/>
        </a:prstGeom>
        <a:noFill/>
        <a:ln w="9525" cmpd="sng">
          <a:no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tx1"/>
              </a:solidFill>
              <a:latin typeface="Tahoma" panose="020B0604030504040204" pitchFamily="34" charset="0"/>
              <a:ea typeface="Tahoma" panose="020B0604030504040204" pitchFamily="34" charset="0"/>
              <a:cs typeface="Tahoma" panose="020B0604030504040204" pitchFamily="34" charset="0"/>
            </a:rPr>
            <a:t>PSI-SUSAS Membership Data Management System</a:t>
          </a:r>
          <a:endParaRPr lang="en-GB" sz="3200" b="1">
            <a:solidFill>
              <a:schemeClr val="tx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mc:AlternateContent xmlns:mc="http://schemas.openxmlformats.org/markup-compatibility/2006">
    <mc:Choice xmlns:a14="http://schemas.microsoft.com/office/drawing/2010/main" Requires="a14">
      <xdr:twoCellAnchor>
        <xdr:from>
          <xdr:col>23</xdr:col>
          <xdr:colOff>333375</xdr:colOff>
          <xdr:row>31</xdr:row>
          <xdr:rowOff>19050</xdr:rowOff>
        </xdr:from>
        <xdr:to>
          <xdr:col>25</xdr:col>
          <xdr:colOff>866775</xdr:colOff>
          <xdr:row>34</xdr:row>
          <xdr:rowOff>57150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Submit</a:t>
              </a:r>
            </a:p>
          </xdr:txBody>
        </xdr:sp>
        <xdr:clientData fPrintsWithSheet="0"/>
      </xdr:twoCellAnchor>
    </mc:Choice>
    <mc:Fallback/>
  </mc:AlternateContent>
  <xdr:twoCellAnchor>
    <xdr:from>
      <xdr:col>9</xdr:col>
      <xdr:colOff>104775</xdr:colOff>
      <xdr:row>20</xdr:row>
      <xdr:rowOff>180975</xdr:rowOff>
    </xdr:from>
    <xdr:to>
      <xdr:col>9</xdr:col>
      <xdr:colOff>476250</xdr:colOff>
      <xdr:row>22</xdr:row>
      <xdr:rowOff>161925</xdr:rowOff>
    </xdr:to>
    <xdr:sp macro="" textlink="">
      <xdr:nvSpPr>
        <xdr:cNvPr id="3" name="Arrow: Right 2">
          <a:extLst>
            <a:ext uri="{FF2B5EF4-FFF2-40B4-BE49-F238E27FC236}">
              <a16:creationId xmlns:a16="http://schemas.microsoft.com/office/drawing/2014/main" id="{00000000-0008-0000-0200-000003000000}"/>
            </a:ext>
          </a:extLst>
        </xdr:cNvPr>
        <xdr:cNvSpPr/>
      </xdr:nvSpPr>
      <xdr:spPr>
        <a:xfrm>
          <a:off x="5886450" y="4200525"/>
          <a:ext cx="371475" cy="428625"/>
        </a:xfrm>
        <a:prstGeom prst="rightArrow">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24</xdr:col>
      <xdr:colOff>342899</xdr:colOff>
      <xdr:row>22</xdr:row>
      <xdr:rowOff>190501</xdr:rowOff>
    </xdr:from>
    <xdr:to>
      <xdr:col>25</xdr:col>
      <xdr:colOff>171449</xdr:colOff>
      <xdr:row>27</xdr:row>
      <xdr:rowOff>38101</xdr:rowOff>
    </xdr:to>
    <xdr:sp macro="" textlink="">
      <xdr:nvSpPr>
        <xdr:cNvPr id="40" name="Arrow: Right 39">
          <a:extLst>
            <a:ext uri="{FF2B5EF4-FFF2-40B4-BE49-F238E27FC236}">
              <a16:creationId xmlns:a16="http://schemas.microsoft.com/office/drawing/2014/main" id="{00000000-0008-0000-0200-000028000000}"/>
            </a:ext>
          </a:extLst>
        </xdr:cNvPr>
        <xdr:cNvSpPr/>
      </xdr:nvSpPr>
      <xdr:spPr>
        <a:xfrm rot="5400000">
          <a:off x="15854362" y="4929188"/>
          <a:ext cx="971550" cy="428625"/>
        </a:xfrm>
        <a:prstGeom prst="rightArrow">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15</xdr:col>
      <xdr:colOff>85725</xdr:colOff>
      <xdr:row>21</xdr:row>
      <xdr:rowOff>0</xdr:rowOff>
    </xdr:from>
    <xdr:to>
      <xdr:col>15</xdr:col>
      <xdr:colOff>457200</xdr:colOff>
      <xdr:row>22</xdr:row>
      <xdr:rowOff>200025</xdr:rowOff>
    </xdr:to>
    <xdr:sp macro="" textlink="">
      <xdr:nvSpPr>
        <xdr:cNvPr id="41" name="Arrow: Right 40">
          <a:extLst>
            <a:ext uri="{FF2B5EF4-FFF2-40B4-BE49-F238E27FC236}">
              <a16:creationId xmlns:a16="http://schemas.microsoft.com/office/drawing/2014/main" id="{00000000-0008-0000-0200-000029000000}"/>
            </a:ext>
          </a:extLst>
        </xdr:cNvPr>
        <xdr:cNvSpPr/>
      </xdr:nvSpPr>
      <xdr:spPr>
        <a:xfrm>
          <a:off x="10077450" y="4238625"/>
          <a:ext cx="371475" cy="428625"/>
        </a:xfrm>
        <a:prstGeom prst="rightArrow">
          <a:avLst/>
        </a:prstGeom>
        <a:solidFill>
          <a:schemeClr val="bg1"/>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50890</xdr:colOff>
      <xdr:row>8</xdr:row>
      <xdr:rowOff>57150</xdr:rowOff>
    </xdr:from>
    <xdr:to>
      <xdr:col>2</xdr:col>
      <xdr:colOff>228596</xdr:colOff>
      <xdr:row>10</xdr:row>
      <xdr:rowOff>161926</xdr:rowOff>
    </xdr:to>
    <xdr:grpSp>
      <xdr:nvGrpSpPr>
        <xdr:cNvPr id="42" name="Group 41">
          <a:hlinkClick xmlns:r="http://schemas.openxmlformats.org/officeDocument/2006/relationships" r:id="rId2"/>
          <a:extLst>
            <a:ext uri="{FF2B5EF4-FFF2-40B4-BE49-F238E27FC236}">
              <a16:creationId xmlns:a16="http://schemas.microsoft.com/office/drawing/2014/main" id="{00000000-0008-0000-0200-00002A000000}"/>
            </a:ext>
          </a:extLst>
        </xdr:cNvPr>
        <xdr:cNvGrpSpPr/>
      </xdr:nvGrpSpPr>
      <xdr:grpSpPr>
        <a:xfrm>
          <a:off x="50890" y="1557338"/>
          <a:ext cx="1344519" cy="521494"/>
          <a:chOff x="236220" y="1135380"/>
          <a:chExt cx="2111570" cy="762002"/>
        </a:xfrm>
      </xdr:grpSpPr>
      <xdr:sp macro="" textlink="">
        <xdr:nvSpPr>
          <xdr:cNvPr id="43" name="TextBox 42">
            <a:extLst>
              <a:ext uri="{FF2B5EF4-FFF2-40B4-BE49-F238E27FC236}">
                <a16:creationId xmlns:a16="http://schemas.microsoft.com/office/drawing/2014/main" id="{00000000-0008-0000-0200-00002B000000}"/>
              </a:ext>
            </a:extLst>
          </xdr:cNvPr>
          <xdr:cNvSpPr txBox="1"/>
        </xdr:nvSpPr>
        <xdr:spPr>
          <a:xfrm>
            <a:off x="823793" y="1363981"/>
            <a:ext cx="1523997"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rthographicFront"/>
              <a:lightRig rig="soft" dir="t">
                <a:rot lat="0" lon="0" rev="15600000"/>
              </a:lightRig>
            </a:scene3d>
            <a:sp3d extrusionH="57150" prstMaterial="softEdge">
              <a:bevelT w="25400" h="38100"/>
            </a:sp3d>
          </a:bodyPr>
          <a:lstStyle/>
          <a:p>
            <a:r>
              <a:rPr lang="en-US" sz="2000" b="1" cap="none" spc="0" baseline="0">
                <a:ln/>
                <a:solidFill>
                  <a:srgbClr val="FF0000"/>
                </a:solidFill>
                <a:effectLst/>
                <a:latin typeface="Tahoma" panose="020B0604030504040204" pitchFamily="34" charset="0"/>
                <a:ea typeface="Tahoma" panose="020B0604030504040204" pitchFamily="34" charset="0"/>
                <a:cs typeface="Tahoma" panose="020B0604030504040204" pitchFamily="34" charset="0"/>
              </a:rPr>
              <a:t>Home</a:t>
            </a:r>
            <a:endParaRPr lang="en-GB" sz="2000" b="1" cap="none" spc="0" baseline="0">
              <a:ln/>
              <a:solidFill>
                <a:srgbClr val="FF0000"/>
              </a:solidFill>
              <a:effectLst/>
              <a:latin typeface="Tahoma" panose="020B0604030504040204" pitchFamily="34" charset="0"/>
              <a:ea typeface="Tahoma" panose="020B0604030504040204" pitchFamily="34" charset="0"/>
              <a:cs typeface="Tahoma" panose="020B0604030504040204" pitchFamily="34" charset="0"/>
            </a:endParaRPr>
          </a:p>
        </xdr:txBody>
      </xdr:sp>
      <xdr:pic>
        <xdr:nvPicPr>
          <xdr:cNvPr id="44" name="Graphic 43" descr="Home">
            <a:extLst>
              <a:ext uri="{FF2B5EF4-FFF2-40B4-BE49-F238E27FC236}">
                <a16:creationId xmlns:a16="http://schemas.microsoft.com/office/drawing/2014/main" id="{00000000-0008-0000-02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236220" y="1135380"/>
            <a:ext cx="759600" cy="759600"/>
          </a:xfrm>
          <a:prstGeom prst="rect">
            <a:avLst/>
          </a:prstGeom>
        </xdr:spPr>
      </xdr:pic>
    </xdr:grpSp>
    <xdr:clientData/>
  </xdr:twoCellAnchor>
  <xdr:twoCellAnchor>
    <xdr:from>
      <xdr:col>0</xdr:col>
      <xdr:colOff>0</xdr:colOff>
      <xdr:row>12</xdr:row>
      <xdr:rowOff>133350</xdr:rowOff>
    </xdr:from>
    <xdr:to>
      <xdr:col>3</xdr:col>
      <xdr:colOff>38099</xdr:colOff>
      <xdr:row>14</xdr:row>
      <xdr:rowOff>161926</xdr:rowOff>
    </xdr:to>
    <xdr:grpSp>
      <xdr:nvGrpSpPr>
        <xdr:cNvPr id="45" name="Group 44">
          <a:extLst>
            <a:ext uri="{FF2B5EF4-FFF2-40B4-BE49-F238E27FC236}">
              <a16:creationId xmlns:a16="http://schemas.microsoft.com/office/drawing/2014/main" id="{00000000-0008-0000-0200-00002D000000}"/>
            </a:ext>
          </a:extLst>
        </xdr:cNvPr>
        <xdr:cNvGrpSpPr/>
      </xdr:nvGrpSpPr>
      <xdr:grpSpPr>
        <a:xfrm>
          <a:off x="0" y="2431256"/>
          <a:ext cx="1788318" cy="504826"/>
          <a:chOff x="243840" y="2095500"/>
          <a:chExt cx="2455724" cy="739140"/>
        </a:xfrm>
        <a:solidFill>
          <a:srgbClr val="FF0000"/>
        </a:solidFill>
      </xdr:grpSpPr>
      <xdr:sp macro="" textlink="">
        <xdr:nvSpPr>
          <xdr:cNvPr id="46" name="TextBox 45">
            <a:hlinkClick xmlns:r="http://schemas.openxmlformats.org/officeDocument/2006/relationships" r:id="rId5"/>
            <a:extLst>
              <a:ext uri="{FF2B5EF4-FFF2-40B4-BE49-F238E27FC236}">
                <a16:creationId xmlns:a16="http://schemas.microsoft.com/office/drawing/2014/main" id="{00000000-0008-0000-0200-00002E000000}"/>
              </a:ext>
            </a:extLst>
          </xdr:cNvPr>
          <xdr:cNvSpPr txBox="1"/>
        </xdr:nvSpPr>
        <xdr:spPr>
          <a:xfrm>
            <a:off x="819292" y="2274885"/>
            <a:ext cx="1880272"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Data entry</a:t>
            </a:r>
            <a:endParaRPr lang="en-GB" sz="16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47" name="Graphic 46" descr="Checklist">
            <a:extLst>
              <a:ext uri="{FF2B5EF4-FFF2-40B4-BE49-F238E27FC236}">
                <a16:creationId xmlns:a16="http://schemas.microsoft.com/office/drawing/2014/main" id="{00000000-0008-0000-0200-00002F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 uri="{96DAC541-7B7A-43D3-8B79-37D633B846F1}">
                <asvg:svgBlip xmlns:asvg="http://schemas.microsoft.com/office/drawing/2016/SVG/main" r:embed="rId7"/>
              </a:ext>
            </a:extLst>
          </a:blip>
          <a:stretch>
            <a:fillRect/>
          </a:stretch>
        </xdr:blipFill>
        <xdr:spPr>
          <a:xfrm>
            <a:off x="243840" y="2095500"/>
            <a:ext cx="739140" cy="739140"/>
          </a:xfrm>
          <a:prstGeom prst="rect">
            <a:avLst/>
          </a:prstGeom>
        </xdr:spPr>
      </xdr:pic>
    </xdr:grpSp>
    <xdr:clientData/>
  </xdr:twoCellAnchor>
  <xdr:twoCellAnchor>
    <xdr:from>
      <xdr:col>0</xdr:col>
      <xdr:colOff>1362</xdr:colOff>
      <xdr:row>16</xdr:row>
      <xdr:rowOff>83785</xdr:rowOff>
    </xdr:from>
    <xdr:to>
      <xdr:col>3</xdr:col>
      <xdr:colOff>28576</xdr:colOff>
      <xdr:row>18</xdr:row>
      <xdr:rowOff>142879</xdr:rowOff>
    </xdr:to>
    <xdr:grpSp>
      <xdr:nvGrpSpPr>
        <xdr:cNvPr id="48" name="Group 47">
          <a:extLst>
            <a:ext uri="{FF2B5EF4-FFF2-40B4-BE49-F238E27FC236}">
              <a16:creationId xmlns:a16="http://schemas.microsoft.com/office/drawing/2014/main" id="{00000000-0008-0000-0200-000030000000}"/>
            </a:ext>
          </a:extLst>
        </xdr:cNvPr>
        <xdr:cNvGrpSpPr/>
      </xdr:nvGrpSpPr>
      <xdr:grpSpPr>
        <a:xfrm>
          <a:off x="1362" y="3322285"/>
          <a:ext cx="1777433" cy="523438"/>
          <a:chOff x="251461" y="3340026"/>
          <a:chExt cx="2368452" cy="584274"/>
        </a:xfrm>
      </xdr:grpSpPr>
      <xdr:sp macro="" textlink="">
        <xdr:nvSpPr>
          <xdr:cNvPr id="49" name="TextBox 48">
            <a:hlinkClick xmlns:r="http://schemas.openxmlformats.org/officeDocument/2006/relationships" r:id="rId8"/>
            <a:extLst>
              <a:ext uri="{FF2B5EF4-FFF2-40B4-BE49-F238E27FC236}">
                <a16:creationId xmlns:a16="http://schemas.microsoft.com/office/drawing/2014/main" id="{00000000-0008-0000-0200-000031000000}"/>
              </a:ext>
            </a:extLst>
          </xdr:cNvPr>
          <xdr:cNvSpPr txBox="1"/>
        </xdr:nvSpPr>
        <xdr:spPr>
          <a:xfrm>
            <a:off x="762601" y="3340026"/>
            <a:ext cx="1857312"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Analysis</a:t>
            </a:r>
            <a:endParaRPr lang="en-GB" sz="16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50" name="Graphic 49" descr="Bar graph with upward trend">
            <a:extLst>
              <a:ext uri="{FF2B5EF4-FFF2-40B4-BE49-F238E27FC236}">
                <a16:creationId xmlns:a16="http://schemas.microsoft.com/office/drawing/2014/main" id="{00000000-0008-0000-0200-000032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251461" y="3342265"/>
            <a:ext cx="626747" cy="582035"/>
          </a:xfrm>
          <a:prstGeom prst="rect">
            <a:avLst/>
          </a:prstGeom>
        </xdr:spPr>
      </xdr:pic>
    </xdr:grpSp>
    <xdr:clientData/>
  </xdr:twoCellAnchor>
  <xdr:twoCellAnchor>
    <xdr:from>
      <xdr:col>0</xdr:col>
      <xdr:colOff>5714</xdr:colOff>
      <xdr:row>20</xdr:row>
      <xdr:rowOff>836</xdr:rowOff>
    </xdr:from>
    <xdr:to>
      <xdr:col>3</xdr:col>
      <xdr:colOff>0</xdr:colOff>
      <xdr:row>22</xdr:row>
      <xdr:rowOff>114308</xdr:rowOff>
    </xdr:to>
    <xdr:grpSp>
      <xdr:nvGrpSpPr>
        <xdr:cNvPr id="51" name="Group 50">
          <a:extLst>
            <a:ext uri="{FF2B5EF4-FFF2-40B4-BE49-F238E27FC236}">
              <a16:creationId xmlns:a16="http://schemas.microsoft.com/office/drawing/2014/main" id="{00000000-0008-0000-0200-000033000000}"/>
            </a:ext>
          </a:extLst>
        </xdr:cNvPr>
        <xdr:cNvGrpSpPr/>
      </xdr:nvGrpSpPr>
      <xdr:grpSpPr>
        <a:xfrm>
          <a:off x="5714" y="4179930"/>
          <a:ext cx="1744505" cy="577816"/>
          <a:chOff x="281940" y="4292442"/>
          <a:chExt cx="2001900" cy="645318"/>
        </a:xfrm>
      </xdr:grpSpPr>
      <xdr:sp macro="" textlink="">
        <xdr:nvSpPr>
          <xdr:cNvPr id="52" name="TextBox 51">
            <a:hlinkClick xmlns:r="http://schemas.openxmlformats.org/officeDocument/2006/relationships" r:id="rId11"/>
            <a:extLst>
              <a:ext uri="{FF2B5EF4-FFF2-40B4-BE49-F238E27FC236}">
                <a16:creationId xmlns:a16="http://schemas.microsoft.com/office/drawing/2014/main" id="{00000000-0008-0000-0200-000034000000}"/>
              </a:ext>
            </a:extLst>
          </xdr:cNvPr>
          <xdr:cNvSpPr txBox="1"/>
        </xdr:nvSpPr>
        <xdr:spPr>
          <a:xfrm>
            <a:off x="759837" y="4292442"/>
            <a:ext cx="1524003" cy="533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Reports</a:t>
            </a:r>
            <a:endParaRPr lang="en-GB" sz="12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53" name="Graphic 52" descr="Presentation with bar chart RTL">
            <a:extLst>
              <a:ext uri="{FF2B5EF4-FFF2-40B4-BE49-F238E27FC236}">
                <a16:creationId xmlns:a16="http://schemas.microsoft.com/office/drawing/2014/main" id="{00000000-0008-0000-0200-000035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 uri="{96DAC541-7B7A-43D3-8B79-37D633B846F1}">
                <asvg:svgBlip xmlns:asvg="http://schemas.microsoft.com/office/drawing/2016/SVG/main" r:embed="rId13"/>
              </a:ext>
            </a:extLst>
          </a:blip>
          <a:stretch>
            <a:fillRect/>
          </a:stretch>
        </xdr:blipFill>
        <xdr:spPr>
          <a:xfrm>
            <a:off x="281940" y="4327839"/>
            <a:ext cx="609921" cy="609921"/>
          </a:xfrm>
          <a:prstGeom prst="rect">
            <a:avLst/>
          </a:prstGeom>
        </xdr:spPr>
      </xdr:pic>
    </xdr:grpSp>
    <xdr:clientData/>
  </xdr:twoCellAnchor>
  <xdr:twoCellAnchor>
    <xdr:from>
      <xdr:col>0</xdr:col>
      <xdr:colOff>47626</xdr:colOff>
      <xdr:row>23</xdr:row>
      <xdr:rowOff>180975</xdr:rowOff>
    </xdr:from>
    <xdr:to>
      <xdr:col>2</xdr:col>
      <xdr:colOff>428637</xdr:colOff>
      <xdr:row>25</xdr:row>
      <xdr:rowOff>133350</xdr:rowOff>
    </xdr:to>
    <xdr:grpSp>
      <xdr:nvGrpSpPr>
        <xdr:cNvPr id="54" name="Group 53">
          <a:extLst>
            <a:ext uri="{FF2B5EF4-FFF2-40B4-BE49-F238E27FC236}">
              <a16:creationId xmlns:a16="http://schemas.microsoft.com/office/drawing/2014/main" id="{00000000-0008-0000-0200-000036000000}"/>
            </a:ext>
          </a:extLst>
        </xdr:cNvPr>
        <xdr:cNvGrpSpPr/>
      </xdr:nvGrpSpPr>
      <xdr:grpSpPr>
        <a:xfrm>
          <a:off x="47626" y="5062538"/>
          <a:ext cx="1547824" cy="416718"/>
          <a:chOff x="281940" y="5143500"/>
          <a:chExt cx="2085783" cy="716280"/>
        </a:xfrm>
        <a:solidFill>
          <a:srgbClr val="E84646"/>
        </a:solidFill>
      </xdr:grpSpPr>
      <xdr:sp macro="" textlink="">
        <xdr:nvSpPr>
          <xdr:cNvPr id="55" name="TextBox 54">
            <a:hlinkClick xmlns:r="http://schemas.openxmlformats.org/officeDocument/2006/relationships" r:id="rId14"/>
            <a:extLst>
              <a:ext uri="{FF2B5EF4-FFF2-40B4-BE49-F238E27FC236}">
                <a16:creationId xmlns:a16="http://schemas.microsoft.com/office/drawing/2014/main" id="{00000000-0008-0000-0200-000037000000}"/>
              </a:ext>
            </a:extLst>
          </xdr:cNvPr>
          <xdr:cNvSpPr txBox="1"/>
        </xdr:nvSpPr>
        <xdr:spPr>
          <a:xfrm>
            <a:off x="843711" y="5242560"/>
            <a:ext cx="1524012"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Setup</a:t>
            </a:r>
            <a:endParaRPr lang="en-GB" sz="12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56" name="Graphic 55" descr="Single gear">
            <a:extLst>
              <a:ext uri="{FF2B5EF4-FFF2-40B4-BE49-F238E27FC236}">
                <a16:creationId xmlns:a16="http://schemas.microsoft.com/office/drawing/2014/main" id="{00000000-0008-0000-0200-000038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81940" y="5143500"/>
            <a:ext cx="716280" cy="716280"/>
          </a:xfrm>
          <a:prstGeom prst="rect">
            <a:avLst/>
          </a:prstGeom>
        </xdr:spPr>
      </xdr:pic>
    </xdr:grpSp>
    <xdr:clientData/>
  </xdr:twoCellAnchor>
  <xdr:twoCellAnchor editAs="oneCell">
    <xdr:from>
      <xdr:col>0</xdr:col>
      <xdr:colOff>77229</xdr:colOff>
      <xdr:row>0</xdr:row>
      <xdr:rowOff>0</xdr:rowOff>
    </xdr:from>
    <xdr:to>
      <xdr:col>2</xdr:col>
      <xdr:colOff>409575</xdr:colOff>
      <xdr:row>7</xdr:row>
      <xdr:rowOff>161924</xdr:rowOff>
    </xdr:to>
    <xdr:pic>
      <xdr:nvPicPr>
        <xdr:cNvPr id="57" name="Picture 56">
          <a:extLst>
            <a:ext uri="{FF2B5EF4-FFF2-40B4-BE49-F238E27FC236}">
              <a16:creationId xmlns:a16="http://schemas.microsoft.com/office/drawing/2014/main" id="{00000000-0008-0000-0200-000039000000}"/>
            </a:ext>
          </a:extLst>
        </xdr:cNvPr>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77229" y="0"/>
          <a:ext cx="1532496" cy="142874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xdr:col>
      <xdr:colOff>205441</xdr:colOff>
      <xdr:row>0</xdr:row>
      <xdr:rowOff>0</xdr:rowOff>
    </xdr:from>
    <xdr:to>
      <xdr:col>17</xdr:col>
      <xdr:colOff>1882375</xdr:colOff>
      <xdr:row>5</xdr:row>
      <xdr:rowOff>15477</xdr:rowOff>
    </xdr:to>
    <xdr:sp macro="" textlink="">
      <xdr:nvSpPr>
        <xdr:cNvPr id="22" name="Rectangle: Rounded Corners 21">
          <a:extLst>
            <a:ext uri="{FF2B5EF4-FFF2-40B4-BE49-F238E27FC236}">
              <a16:creationId xmlns:a16="http://schemas.microsoft.com/office/drawing/2014/main" id="{00000000-0008-0000-0300-000016000000}"/>
            </a:ext>
          </a:extLst>
        </xdr:cNvPr>
        <xdr:cNvSpPr/>
      </xdr:nvSpPr>
      <xdr:spPr>
        <a:xfrm>
          <a:off x="2026397" y="0"/>
          <a:ext cx="14068772" cy="902609"/>
        </a:xfrm>
        <a:prstGeom prst="roundRect">
          <a:avLst/>
        </a:prstGeom>
        <a:solidFill>
          <a:srgbClr val="FF0000"/>
        </a:solidFill>
        <a:ln w="76200">
          <a:noFill/>
        </a:ln>
        <a:effectLst>
          <a:glow rad="139700">
            <a:srgbClr val="FF0000">
              <a:alpha val="40000"/>
            </a:srgbClr>
          </a:glow>
        </a:effectLst>
        <a:scene3d>
          <a:camera prst="orthographicFront">
            <a:rot lat="0" lon="0" rev="0"/>
          </a:camera>
          <a:lightRig rig="glow" dir="t">
            <a:rot lat="0" lon="0" rev="14100000"/>
          </a:lightRig>
        </a:scene3d>
        <a:sp3d prstMaterial="softEdge">
          <a:bevelT w="127000" prst="artDeco"/>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10886</xdr:colOff>
      <xdr:row>0</xdr:row>
      <xdr:rowOff>1360</xdr:rowOff>
    </xdr:from>
    <xdr:to>
      <xdr:col>2</xdr:col>
      <xdr:colOff>598714</xdr:colOff>
      <xdr:row>74</xdr:row>
      <xdr:rowOff>5715</xdr:rowOff>
    </xdr:to>
    <xdr:sp macro="" textlink="">
      <xdr:nvSpPr>
        <xdr:cNvPr id="2" name="Rectangle 1">
          <a:extLst>
            <a:ext uri="{FF2B5EF4-FFF2-40B4-BE49-F238E27FC236}">
              <a16:creationId xmlns:a16="http://schemas.microsoft.com/office/drawing/2014/main" id="{00000000-0008-0000-0300-000002000000}"/>
            </a:ext>
          </a:extLst>
        </xdr:cNvPr>
        <xdr:cNvSpPr/>
      </xdr:nvSpPr>
      <xdr:spPr>
        <a:xfrm>
          <a:off x="10886" y="1360"/>
          <a:ext cx="1807028" cy="13537475"/>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6</xdr:col>
      <xdr:colOff>542924</xdr:colOff>
      <xdr:row>1</xdr:row>
      <xdr:rowOff>47625</xdr:rowOff>
    </xdr:from>
    <xdr:to>
      <xdr:col>16</xdr:col>
      <xdr:colOff>1666874</xdr:colOff>
      <xdr:row>4</xdr:row>
      <xdr:rowOff>95170</xdr:rowOff>
    </xdr:to>
    <xdr:sp macro="" textlink="">
      <xdr:nvSpPr>
        <xdr:cNvPr id="56" name="TextBox 55">
          <a:extLst>
            <a:ext uri="{FF2B5EF4-FFF2-40B4-BE49-F238E27FC236}">
              <a16:creationId xmlns:a16="http://schemas.microsoft.com/office/drawing/2014/main" id="{00000000-0008-0000-0300-000038000000}"/>
            </a:ext>
          </a:extLst>
        </xdr:cNvPr>
        <xdr:cNvSpPr txBox="1"/>
      </xdr:nvSpPr>
      <xdr:spPr>
        <a:xfrm>
          <a:off x="4143374" y="228600"/>
          <a:ext cx="11496675" cy="590470"/>
        </a:xfrm>
        <a:prstGeom prst="rect">
          <a:avLst/>
        </a:prstGeom>
        <a:noFill/>
        <a:ln w="9525" cmpd="sng">
          <a:no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tx1"/>
              </a:solidFill>
              <a:latin typeface="Tahoma" panose="020B0604030504040204" pitchFamily="34" charset="0"/>
              <a:ea typeface="Tahoma" panose="020B0604030504040204" pitchFamily="34" charset="0"/>
              <a:cs typeface="Tahoma" panose="020B0604030504040204" pitchFamily="34" charset="0"/>
            </a:rPr>
            <a:t>PSI-SUSAS Membership Data Management System</a:t>
          </a:r>
          <a:endParaRPr lang="en-GB" sz="3200" b="1">
            <a:solidFill>
              <a:schemeClr val="tx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50890</xdr:colOff>
      <xdr:row>8</xdr:row>
      <xdr:rowOff>57150</xdr:rowOff>
    </xdr:from>
    <xdr:to>
      <xdr:col>2</xdr:col>
      <xdr:colOff>228596</xdr:colOff>
      <xdr:row>11</xdr:row>
      <xdr:rowOff>19051</xdr:rowOff>
    </xdr:to>
    <xdr:grpSp>
      <xdr:nvGrpSpPr>
        <xdr:cNvPr id="21" name="Group 20">
          <a:hlinkClick xmlns:r="http://schemas.openxmlformats.org/officeDocument/2006/relationships" r:id="rId1"/>
          <a:extLst>
            <a:ext uri="{FF2B5EF4-FFF2-40B4-BE49-F238E27FC236}">
              <a16:creationId xmlns:a16="http://schemas.microsoft.com/office/drawing/2014/main" id="{00000000-0008-0000-0300-000015000000}"/>
            </a:ext>
          </a:extLst>
        </xdr:cNvPr>
        <xdr:cNvGrpSpPr/>
      </xdr:nvGrpSpPr>
      <xdr:grpSpPr>
        <a:xfrm>
          <a:off x="50890" y="1581150"/>
          <a:ext cx="1344519" cy="533401"/>
          <a:chOff x="236220" y="1135380"/>
          <a:chExt cx="2111570" cy="762002"/>
        </a:xfrm>
      </xdr:grpSpPr>
      <xdr:sp macro="" textlink="">
        <xdr:nvSpPr>
          <xdr:cNvPr id="23" name="TextBox 22">
            <a:extLst>
              <a:ext uri="{FF2B5EF4-FFF2-40B4-BE49-F238E27FC236}">
                <a16:creationId xmlns:a16="http://schemas.microsoft.com/office/drawing/2014/main" id="{00000000-0008-0000-0300-000017000000}"/>
              </a:ext>
            </a:extLst>
          </xdr:cNvPr>
          <xdr:cNvSpPr txBox="1"/>
        </xdr:nvSpPr>
        <xdr:spPr>
          <a:xfrm>
            <a:off x="823793" y="1363981"/>
            <a:ext cx="1523997"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rthographicFront"/>
              <a:lightRig rig="soft" dir="t">
                <a:rot lat="0" lon="0" rev="15600000"/>
              </a:lightRig>
            </a:scene3d>
            <a:sp3d extrusionH="57150" prstMaterial="softEdge">
              <a:bevelT w="25400" h="38100"/>
            </a:sp3d>
          </a:bodyPr>
          <a:lstStyle/>
          <a:p>
            <a:r>
              <a:rPr lang="en-US" sz="2000" b="1" cap="none" spc="0" baseline="0">
                <a:ln/>
                <a:solidFill>
                  <a:srgbClr val="FF0000"/>
                </a:solidFill>
                <a:effectLst/>
                <a:latin typeface="Tahoma" panose="020B0604030504040204" pitchFamily="34" charset="0"/>
                <a:ea typeface="Tahoma" panose="020B0604030504040204" pitchFamily="34" charset="0"/>
                <a:cs typeface="Tahoma" panose="020B0604030504040204" pitchFamily="34" charset="0"/>
              </a:rPr>
              <a:t>Home</a:t>
            </a:r>
            <a:endParaRPr lang="en-GB" sz="2000" b="1" cap="none" spc="0" baseline="0">
              <a:ln/>
              <a:solidFill>
                <a:srgbClr val="FF0000"/>
              </a:solidFill>
              <a:effectLst/>
              <a:latin typeface="Tahoma" panose="020B0604030504040204" pitchFamily="34" charset="0"/>
              <a:ea typeface="Tahoma" panose="020B0604030504040204" pitchFamily="34" charset="0"/>
              <a:cs typeface="Tahoma" panose="020B0604030504040204" pitchFamily="34" charset="0"/>
            </a:endParaRPr>
          </a:p>
        </xdr:txBody>
      </xdr:sp>
      <xdr:pic>
        <xdr:nvPicPr>
          <xdr:cNvPr id="24" name="Graphic 23" descr="Home">
            <a:extLst>
              <a:ext uri="{FF2B5EF4-FFF2-40B4-BE49-F238E27FC236}">
                <a16:creationId xmlns:a16="http://schemas.microsoft.com/office/drawing/2014/main" id="{00000000-0008-0000-0300-00001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36220" y="1135380"/>
            <a:ext cx="759600" cy="759600"/>
          </a:xfrm>
          <a:prstGeom prst="rect">
            <a:avLst/>
          </a:prstGeom>
        </xdr:spPr>
      </xdr:pic>
    </xdr:grpSp>
    <xdr:clientData/>
  </xdr:twoCellAnchor>
  <xdr:twoCellAnchor>
    <xdr:from>
      <xdr:col>0</xdr:col>
      <xdr:colOff>0</xdr:colOff>
      <xdr:row>12</xdr:row>
      <xdr:rowOff>171450</xdr:rowOff>
    </xdr:from>
    <xdr:to>
      <xdr:col>3</xdr:col>
      <xdr:colOff>38099</xdr:colOff>
      <xdr:row>15</xdr:row>
      <xdr:rowOff>95251</xdr:rowOff>
    </xdr:to>
    <xdr:grpSp>
      <xdr:nvGrpSpPr>
        <xdr:cNvPr id="25" name="Group 24">
          <a:extLst>
            <a:ext uri="{FF2B5EF4-FFF2-40B4-BE49-F238E27FC236}">
              <a16:creationId xmlns:a16="http://schemas.microsoft.com/office/drawing/2014/main" id="{00000000-0008-0000-0300-000019000000}"/>
            </a:ext>
          </a:extLst>
        </xdr:cNvPr>
        <xdr:cNvGrpSpPr/>
      </xdr:nvGrpSpPr>
      <xdr:grpSpPr>
        <a:xfrm>
          <a:off x="0" y="2457450"/>
          <a:ext cx="1788318" cy="519114"/>
          <a:chOff x="243840" y="2095500"/>
          <a:chExt cx="2455724" cy="739140"/>
        </a:xfrm>
        <a:solidFill>
          <a:srgbClr val="FF0000"/>
        </a:solidFill>
      </xdr:grpSpPr>
      <xdr:sp macro="" textlink="">
        <xdr:nvSpPr>
          <xdr:cNvPr id="26" name="TextBox 25">
            <a:hlinkClick xmlns:r="http://schemas.openxmlformats.org/officeDocument/2006/relationships" r:id="rId4"/>
            <a:extLst>
              <a:ext uri="{FF2B5EF4-FFF2-40B4-BE49-F238E27FC236}">
                <a16:creationId xmlns:a16="http://schemas.microsoft.com/office/drawing/2014/main" id="{00000000-0008-0000-0300-00001A000000}"/>
              </a:ext>
            </a:extLst>
          </xdr:cNvPr>
          <xdr:cNvSpPr txBox="1"/>
        </xdr:nvSpPr>
        <xdr:spPr>
          <a:xfrm>
            <a:off x="819292" y="2274885"/>
            <a:ext cx="1880272"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Data entry</a:t>
            </a:r>
            <a:endParaRPr lang="en-GB" sz="16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27" name="Graphic 26" descr="Checklist">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43840" y="2095500"/>
            <a:ext cx="739140" cy="739140"/>
          </a:xfrm>
          <a:prstGeom prst="rect">
            <a:avLst/>
          </a:prstGeom>
        </xdr:spPr>
      </xdr:pic>
    </xdr:grpSp>
    <xdr:clientData/>
  </xdr:twoCellAnchor>
  <xdr:twoCellAnchor>
    <xdr:from>
      <xdr:col>0</xdr:col>
      <xdr:colOff>1362</xdr:colOff>
      <xdr:row>17</xdr:row>
      <xdr:rowOff>102835</xdr:rowOff>
    </xdr:from>
    <xdr:to>
      <xdr:col>3</xdr:col>
      <xdr:colOff>28576</xdr:colOff>
      <xdr:row>20</xdr:row>
      <xdr:rowOff>66679</xdr:rowOff>
    </xdr:to>
    <xdr:grpSp>
      <xdr:nvGrpSpPr>
        <xdr:cNvPr id="28" name="Group 27">
          <a:extLst>
            <a:ext uri="{FF2B5EF4-FFF2-40B4-BE49-F238E27FC236}">
              <a16:creationId xmlns:a16="http://schemas.microsoft.com/office/drawing/2014/main" id="{00000000-0008-0000-0300-00001C000000}"/>
            </a:ext>
          </a:extLst>
        </xdr:cNvPr>
        <xdr:cNvGrpSpPr/>
      </xdr:nvGrpSpPr>
      <xdr:grpSpPr>
        <a:xfrm>
          <a:off x="1362" y="3365148"/>
          <a:ext cx="1777433" cy="535344"/>
          <a:chOff x="251461" y="3340026"/>
          <a:chExt cx="2368452" cy="584274"/>
        </a:xfrm>
      </xdr:grpSpPr>
      <xdr:sp macro="" textlink="">
        <xdr:nvSpPr>
          <xdr:cNvPr id="29" name="TextBox 28">
            <a:hlinkClick xmlns:r="http://schemas.openxmlformats.org/officeDocument/2006/relationships" r:id="rId7"/>
            <a:extLst>
              <a:ext uri="{FF2B5EF4-FFF2-40B4-BE49-F238E27FC236}">
                <a16:creationId xmlns:a16="http://schemas.microsoft.com/office/drawing/2014/main" id="{00000000-0008-0000-0300-00001D000000}"/>
              </a:ext>
            </a:extLst>
          </xdr:cNvPr>
          <xdr:cNvSpPr txBox="1"/>
        </xdr:nvSpPr>
        <xdr:spPr>
          <a:xfrm>
            <a:off x="762601" y="3340026"/>
            <a:ext cx="1857312"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Analysis</a:t>
            </a:r>
            <a:endParaRPr lang="en-GB" sz="16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30" name="Graphic 29" descr="Bar graph with upward trend">
            <a:extLst>
              <a:ext uri="{FF2B5EF4-FFF2-40B4-BE49-F238E27FC236}">
                <a16:creationId xmlns:a16="http://schemas.microsoft.com/office/drawing/2014/main" id="{00000000-0008-0000-0300-00001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51461" y="3342265"/>
            <a:ext cx="626747" cy="582035"/>
          </a:xfrm>
          <a:prstGeom prst="rect">
            <a:avLst/>
          </a:prstGeom>
        </xdr:spPr>
      </xdr:pic>
    </xdr:grpSp>
    <xdr:clientData/>
  </xdr:twoCellAnchor>
  <xdr:twoCellAnchor>
    <xdr:from>
      <xdr:col>0</xdr:col>
      <xdr:colOff>5714</xdr:colOff>
      <xdr:row>22</xdr:row>
      <xdr:rowOff>19886</xdr:rowOff>
    </xdr:from>
    <xdr:to>
      <xdr:col>3</xdr:col>
      <xdr:colOff>0</xdr:colOff>
      <xdr:row>25</xdr:row>
      <xdr:rowOff>19058</xdr:rowOff>
    </xdr:to>
    <xdr:grpSp>
      <xdr:nvGrpSpPr>
        <xdr:cNvPr id="31" name="Group 30">
          <a:extLst>
            <a:ext uri="{FF2B5EF4-FFF2-40B4-BE49-F238E27FC236}">
              <a16:creationId xmlns:a16="http://schemas.microsoft.com/office/drawing/2014/main" id="{00000000-0008-0000-0300-00001F000000}"/>
            </a:ext>
          </a:extLst>
        </xdr:cNvPr>
        <xdr:cNvGrpSpPr/>
      </xdr:nvGrpSpPr>
      <xdr:grpSpPr>
        <a:xfrm>
          <a:off x="5714" y="4234699"/>
          <a:ext cx="1744505" cy="594484"/>
          <a:chOff x="281940" y="4292442"/>
          <a:chExt cx="2001900" cy="645318"/>
        </a:xfrm>
      </xdr:grpSpPr>
      <xdr:sp macro="" textlink="">
        <xdr:nvSpPr>
          <xdr:cNvPr id="32" name="TextBox 31">
            <a:hlinkClick xmlns:r="http://schemas.openxmlformats.org/officeDocument/2006/relationships" r:id="rId10"/>
            <a:extLst>
              <a:ext uri="{FF2B5EF4-FFF2-40B4-BE49-F238E27FC236}">
                <a16:creationId xmlns:a16="http://schemas.microsoft.com/office/drawing/2014/main" id="{00000000-0008-0000-0300-000020000000}"/>
              </a:ext>
            </a:extLst>
          </xdr:cNvPr>
          <xdr:cNvSpPr txBox="1"/>
        </xdr:nvSpPr>
        <xdr:spPr>
          <a:xfrm>
            <a:off x="759837" y="4292442"/>
            <a:ext cx="1524003" cy="533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Reports</a:t>
            </a:r>
            <a:endParaRPr lang="en-GB" sz="12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33" name="Graphic 32" descr="Presentation with bar chart RTL">
            <a:extLst>
              <a:ext uri="{FF2B5EF4-FFF2-40B4-BE49-F238E27FC236}">
                <a16:creationId xmlns:a16="http://schemas.microsoft.com/office/drawing/2014/main" id="{00000000-0008-0000-0300-000021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81940" y="4327839"/>
            <a:ext cx="609921" cy="609921"/>
          </a:xfrm>
          <a:prstGeom prst="rect">
            <a:avLst/>
          </a:prstGeom>
        </xdr:spPr>
      </xdr:pic>
    </xdr:grpSp>
    <xdr:clientData/>
  </xdr:twoCellAnchor>
  <xdr:twoCellAnchor>
    <xdr:from>
      <xdr:col>0</xdr:col>
      <xdr:colOff>47626</xdr:colOff>
      <xdr:row>26</xdr:row>
      <xdr:rowOff>133350</xdr:rowOff>
    </xdr:from>
    <xdr:to>
      <xdr:col>2</xdr:col>
      <xdr:colOff>428637</xdr:colOff>
      <xdr:row>28</xdr:row>
      <xdr:rowOff>171450</xdr:rowOff>
    </xdr:to>
    <xdr:grpSp>
      <xdr:nvGrpSpPr>
        <xdr:cNvPr id="34" name="Group 33">
          <a:extLst>
            <a:ext uri="{FF2B5EF4-FFF2-40B4-BE49-F238E27FC236}">
              <a16:creationId xmlns:a16="http://schemas.microsoft.com/office/drawing/2014/main" id="{00000000-0008-0000-0300-000022000000}"/>
            </a:ext>
          </a:extLst>
        </xdr:cNvPr>
        <xdr:cNvGrpSpPr/>
      </xdr:nvGrpSpPr>
      <xdr:grpSpPr>
        <a:xfrm>
          <a:off x="47626" y="5133975"/>
          <a:ext cx="1547824" cy="419100"/>
          <a:chOff x="281940" y="5143500"/>
          <a:chExt cx="2085783" cy="716280"/>
        </a:xfrm>
        <a:solidFill>
          <a:srgbClr val="E84646"/>
        </a:solidFill>
      </xdr:grpSpPr>
      <xdr:sp macro="" textlink="">
        <xdr:nvSpPr>
          <xdr:cNvPr id="35" name="TextBox 34">
            <a:hlinkClick xmlns:r="http://schemas.openxmlformats.org/officeDocument/2006/relationships" r:id="rId13"/>
            <a:extLst>
              <a:ext uri="{FF2B5EF4-FFF2-40B4-BE49-F238E27FC236}">
                <a16:creationId xmlns:a16="http://schemas.microsoft.com/office/drawing/2014/main" id="{00000000-0008-0000-0300-000023000000}"/>
              </a:ext>
            </a:extLst>
          </xdr:cNvPr>
          <xdr:cNvSpPr txBox="1"/>
        </xdr:nvSpPr>
        <xdr:spPr>
          <a:xfrm>
            <a:off x="843711" y="5242560"/>
            <a:ext cx="1524012"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Setup</a:t>
            </a:r>
            <a:endParaRPr lang="en-GB" sz="12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36" name="Graphic 35" descr="Single gear">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81940" y="5143500"/>
            <a:ext cx="716280" cy="716280"/>
          </a:xfrm>
          <a:prstGeom prst="rect">
            <a:avLst/>
          </a:prstGeom>
        </xdr:spPr>
      </xdr:pic>
    </xdr:grpSp>
    <xdr:clientData/>
  </xdr:twoCellAnchor>
  <xdr:twoCellAnchor editAs="oneCell">
    <xdr:from>
      <xdr:col>0</xdr:col>
      <xdr:colOff>77229</xdr:colOff>
      <xdr:row>0</xdr:row>
      <xdr:rowOff>0</xdr:rowOff>
    </xdr:from>
    <xdr:to>
      <xdr:col>2</xdr:col>
      <xdr:colOff>409575</xdr:colOff>
      <xdr:row>7</xdr:row>
      <xdr:rowOff>161924</xdr:rowOff>
    </xdr:to>
    <xdr:pic>
      <xdr:nvPicPr>
        <xdr:cNvPr id="37" name="Picture 36">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77229" y="0"/>
          <a:ext cx="1532496" cy="142874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351804</xdr:colOff>
      <xdr:row>0</xdr:row>
      <xdr:rowOff>0</xdr:rowOff>
    </xdr:from>
    <xdr:to>
      <xdr:col>28</xdr:col>
      <xdr:colOff>447092</xdr:colOff>
      <xdr:row>4</xdr:row>
      <xdr:rowOff>167746</xdr:rowOff>
    </xdr:to>
    <xdr:sp macro="" textlink="">
      <xdr:nvSpPr>
        <xdr:cNvPr id="42" name="Rectangle: Rounded Corners 41">
          <a:extLst>
            <a:ext uri="{FF2B5EF4-FFF2-40B4-BE49-F238E27FC236}">
              <a16:creationId xmlns:a16="http://schemas.microsoft.com/office/drawing/2014/main" id="{00000000-0008-0000-0400-00002A000000}"/>
            </a:ext>
          </a:extLst>
        </xdr:cNvPr>
        <xdr:cNvSpPr/>
      </xdr:nvSpPr>
      <xdr:spPr>
        <a:xfrm>
          <a:off x="2188768" y="0"/>
          <a:ext cx="15403324" cy="906419"/>
        </a:xfrm>
        <a:prstGeom prst="roundRect">
          <a:avLst/>
        </a:prstGeom>
        <a:solidFill>
          <a:srgbClr val="FF0000"/>
        </a:solidFill>
        <a:ln w="76200">
          <a:noFill/>
        </a:ln>
        <a:effectLst>
          <a:glow rad="139700">
            <a:srgbClr val="FF0000">
              <a:alpha val="40000"/>
            </a:srgbClr>
          </a:glow>
        </a:effectLst>
        <a:scene3d>
          <a:camera prst="orthographicFront">
            <a:rot lat="0" lon="0" rev="0"/>
          </a:camera>
          <a:lightRig rig="glow" dir="t">
            <a:rot lat="0" lon="0" rev="14100000"/>
          </a:lightRig>
        </a:scene3d>
        <a:sp3d prstMaterial="softEdge">
          <a:bevelT w="127000" prst="artDeco"/>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10886</xdr:colOff>
      <xdr:row>0</xdr:row>
      <xdr:rowOff>1360</xdr:rowOff>
    </xdr:from>
    <xdr:to>
      <xdr:col>2</xdr:col>
      <xdr:colOff>598714</xdr:colOff>
      <xdr:row>73</xdr:row>
      <xdr:rowOff>5715</xdr:rowOff>
    </xdr:to>
    <xdr:sp macro="" textlink="">
      <xdr:nvSpPr>
        <xdr:cNvPr id="2" name="Rectangle 1">
          <a:extLst>
            <a:ext uri="{FF2B5EF4-FFF2-40B4-BE49-F238E27FC236}">
              <a16:creationId xmlns:a16="http://schemas.microsoft.com/office/drawing/2014/main" id="{00000000-0008-0000-0400-000002000000}"/>
            </a:ext>
          </a:extLst>
        </xdr:cNvPr>
        <xdr:cNvSpPr/>
      </xdr:nvSpPr>
      <xdr:spPr>
        <a:xfrm>
          <a:off x="10886" y="1360"/>
          <a:ext cx="1807028" cy="13537475"/>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19</xdr:col>
      <xdr:colOff>489855</xdr:colOff>
      <xdr:row>12</xdr:row>
      <xdr:rowOff>43544</xdr:rowOff>
    </xdr:from>
    <xdr:to>
      <xdr:col>26</xdr:col>
      <xdr:colOff>119743</xdr:colOff>
      <xdr:row>25</xdr:row>
      <xdr:rowOff>87085</xdr:rowOff>
    </xdr:to>
    <xdr:graphicFrame macro="">
      <xdr:nvGraphicFramePr>
        <xdr:cNvPr id="35" name="Chart 34">
          <a:extLst>
            <a:ext uri="{FF2B5EF4-FFF2-40B4-BE49-F238E27FC236}">
              <a16:creationId xmlns:a16="http://schemas.microsoft.com/office/drawing/2014/main" id="{00000000-0008-0000-04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149794</xdr:colOff>
      <xdr:row>10</xdr:row>
      <xdr:rowOff>35067</xdr:rowOff>
    </xdr:from>
    <xdr:to>
      <xdr:col>21</xdr:col>
      <xdr:colOff>351803</xdr:colOff>
      <xdr:row>13</xdr:row>
      <xdr:rowOff>171333</xdr:rowOff>
    </xdr:to>
    <xdr:sp macro="" textlink="">
      <xdr:nvSpPr>
        <xdr:cNvPr id="22" name="Rectangle: Rounded Corners 21">
          <a:extLst>
            <a:ext uri="{FF2B5EF4-FFF2-40B4-BE49-F238E27FC236}">
              <a16:creationId xmlns:a16="http://schemas.microsoft.com/office/drawing/2014/main" id="{00000000-0008-0000-0400-000016000000}"/>
            </a:ext>
          </a:extLst>
        </xdr:cNvPr>
        <xdr:cNvSpPr/>
      </xdr:nvSpPr>
      <xdr:spPr>
        <a:xfrm>
          <a:off x="2599080" y="1881751"/>
          <a:ext cx="10611473" cy="690271"/>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cap="none" spc="0">
              <a:ln w="0"/>
              <a:solidFill>
                <a:schemeClr val="accent1">
                  <a:lumMod val="50000"/>
                </a:schemeClr>
              </a:solidFill>
              <a:effectLst>
                <a:outerShdw blurRad="38100" dist="19050" dir="2700000" algn="tl" rotWithShape="0">
                  <a:schemeClr val="dk1">
                    <a:alpha val="40000"/>
                  </a:schemeClr>
                </a:outerShdw>
              </a:effectLst>
            </a:rPr>
            <a:t>Union Dashboard</a:t>
          </a:r>
          <a:endParaRPr lang="en-GB" sz="1400" b="1" cap="none" spc="0">
            <a:ln w="0"/>
            <a:solidFill>
              <a:schemeClr val="accent1">
                <a:lumMod val="50000"/>
              </a:schemeClr>
            </a:solidFill>
            <a:effectLst>
              <a:outerShdw blurRad="38100" dist="19050" dir="2700000" algn="tl" rotWithShape="0">
                <a:schemeClr val="dk1">
                  <a:alpha val="40000"/>
                </a:schemeClr>
              </a:outerShdw>
            </a:effectLst>
          </a:endParaRPr>
        </a:p>
      </xdr:txBody>
    </xdr:sp>
    <xdr:clientData/>
  </xdr:twoCellAnchor>
  <xdr:twoCellAnchor>
    <xdr:from>
      <xdr:col>4</xdr:col>
      <xdr:colOff>131055</xdr:colOff>
      <xdr:row>15</xdr:row>
      <xdr:rowOff>18622</xdr:rowOff>
    </xdr:from>
    <xdr:to>
      <xdr:col>9</xdr:col>
      <xdr:colOff>324550</xdr:colOff>
      <xdr:row>23</xdr:row>
      <xdr:rowOff>97194</xdr:rowOff>
    </xdr:to>
    <xdr:sp macro="" textlink="">
      <xdr:nvSpPr>
        <xdr:cNvPr id="32" name="Rectangle: Rounded Corners 31">
          <a:extLst>
            <a:ext uri="{FF2B5EF4-FFF2-40B4-BE49-F238E27FC236}">
              <a16:creationId xmlns:a16="http://schemas.microsoft.com/office/drawing/2014/main" id="{00000000-0008-0000-0400-000020000000}"/>
            </a:ext>
          </a:extLst>
        </xdr:cNvPr>
        <xdr:cNvSpPr/>
      </xdr:nvSpPr>
      <xdr:spPr>
        <a:xfrm>
          <a:off x="2580341" y="2788648"/>
          <a:ext cx="3255102" cy="1555918"/>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cap="none" spc="0">
              <a:ln w="0"/>
              <a:solidFill>
                <a:schemeClr val="accent1">
                  <a:lumMod val="50000"/>
                </a:schemeClr>
              </a:solidFill>
              <a:effectLst>
                <a:outerShdw blurRad="38100" dist="19050" dir="2700000" algn="tl" rotWithShape="0">
                  <a:schemeClr val="dk1">
                    <a:alpha val="40000"/>
                  </a:schemeClr>
                </a:outerShdw>
              </a:effectLst>
            </a:rPr>
            <a:t>number of members</a:t>
          </a:r>
          <a:endParaRPr lang="en-GB" sz="1400" b="1" cap="none" spc="0">
            <a:ln w="0"/>
            <a:solidFill>
              <a:schemeClr val="accent1">
                <a:lumMod val="50000"/>
              </a:schemeClr>
            </a:solidFill>
            <a:effectLst>
              <a:outerShdw blurRad="38100" dist="19050" dir="2700000" algn="tl" rotWithShape="0">
                <a:schemeClr val="dk1">
                  <a:alpha val="40000"/>
                </a:schemeClr>
              </a:outerShdw>
            </a:effectLst>
          </a:endParaRPr>
        </a:p>
      </xdr:txBody>
    </xdr:sp>
    <xdr:clientData/>
  </xdr:twoCellAnchor>
  <xdr:twoCellAnchor>
    <xdr:from>
      <xdr:col>10</xdr:col>
      <xdr:colOff>170127</xdr:colOff>
      <xdr:row>15</xdr:row>
      <xdr:rowOff>22431</xdr:rowOff>
    </xdr:from>
    <xdr:to>
      <xdr:col>15</xdr:col>
      <xdr:colOff>365527</xdr:colOff>
      <xdr:row>23</xdr:row>
      <xdr:rowOff>68036</xdr:rowOff>
    </xdr:to>
    <xdr:sp macro="" textlink="">
      <xdr:nvSpPr>
        <xdr:cNvPr id="33" name="Rectangle: Rounded Corners 32">
          <a:extLst>
            <a:ext uri="{FF2B5EF4-FFF2-40B4-BE49-F238E27FC236}">
              <a16:creationId xmlns:a16="http://schemas.microsoft.com/office/drawing/2014/main" id="{00000000-0008-0000-0400-000021000000}"/>
            </a:ext>
          </a:extLst>
        </xdr:cNvPr>
        <xdr:cNvSpPr/>
      </xdr:nvSpPr>
      <xdr:spPr>
        <a:xfrm>
          <a:off x="6293341" y="2792457"/>
          <a:ext cx="3257007" cy="1522951"/>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cap="none" spc="0">
              <a:ln w="0"/>
              <a:solidFill>
                <a:schemeClr val="accent1">
                  <a:lumMod val="50000"/>
                </a:schemeClr>
              </a:solidFill>
              <a:effectLst>
                <a:outerShdw blurRad="38100" dist="19050" dir="2700000" algn="tl" rotWithShape="0">
                  <a:schemeClr val="dk1">
                    <a:alpha val="40000"/>
                  </a:schemeClr>
                </a:outerShdw>
              </a:effectLst>
            </a:rPr>
            <a:t>Union Demographics</a:t>
          </a:r>
          <a:endParaRPr lang="en-GB" sz="1400" b="1" cap="none" spc="0">
            <a:ln w="0"/>
            <a:solidFill>
              <a:schemeClr val="accent1">
                <a:lumMod val="50000"/>
              </a:schemeClr>
            </a:solidFill>
            <a:effectLst>
              <a:outerShdw blurRad="38100" dist="19050" dir="2700000" algn="tl" rotWithShape="0">
                <a:schemeClr val="dk1">
                  <a:alpha val="40000"/>
                </a:schemeClr>
              </a:outerShdw>
            </a:effectLst>
          </a:endParaRPr>
        </a:p>
      </xdr:txBody>
    </xdr:sp>
    <xdr:clientData/>
  </xdr:twoCellAnchor>
  <xdr:twoCellAnchor>
    <xdr:from>
      <xdr:col>16</xdr:col>
      <xdr:colOff>135059</xdr:colOff>
      <xdr:row>15</xdr:row>
      <xdr:rowOff>16327</xdr:rowOff>
    </xdr:from>
    <xdr:to>
      <xdr:col>21</xdr:col>
      <xdr:colOff>322839</xdr:colOff>
      <xdr:row>23</xdr:row>
      <xdr:rowOff>97194</xdr:rowOff>
    </xdr:to>
    <xdr:sp macro="" textlink="">
      <xdr:nvSpPr>
        <xdr:cNvPr id="37" name="Rectangle: Rounded Corners 36">
          <a:extLst>
            <a:ext uri="{FF2B5EF4-FFF2-40B4-BE49-F238E27FC236}">
              <a16:creationId xmlns:a16="http://schemas.microsoft.com/office/drawing/2014/main" id="{00000000-0008-0000-0400-000025000000}"/>
            </a:ext>
          </a:extLst>
        </xdr:cNvPr>
        <xdr:cNvSpPr/>
      </xdr:nvSpPr>
      <xdr:spPr>
        <a:xfrm>
          <a:off x="9932202" y="2786353"/>
          <a:ext cx="3249387" cy="1558213"/>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cap="none" spc="0">
              <a:ln w="0"/>
              <a:solidFill>
                <a:schemeClr val="accent1">
                  <a:lumMod val="50000"/>
                </a:schemeClr>
              </a:solidFill>
              <a:effectLst>
                <a:outerShdw blurRad="38100" dist="19050" dir="2700000" algn="tl" rotWithShape="0">
                  <a:schemeClr val="dk1">
                    <a:alpha val="40000"/>
                  </a:schemeClr>
                </a:outerShdw>
              </a:effectLst>
            </a:rPr>
            <a:t>union Age range</a:t>
          </a:r>
          <a:endParaRPr lang="en-GB" sz="1400" b="1" cap="none" spc="0">
            <a:ln w="0"/>
            <a:solidFill>
              <a:schemeClr val="accent1">
                <a:lumMod val="50000"/>
              </a:schemeClr>
            </a:solidFill>
            <a:effectLst>
              <a:outerShdw blurRad="38100" dist="19050" dir="2700000" algn="tl" rotWithShape="0">
                <a:schemeClr val="dk1">
                  <a:alpha val="40000"/>
                </a:schemeClr>
              </a:outerShdw>
            </a:effectLst>
          </a:endParaRPr>
        </a:p>
      </xdr:txBody>
    </xdr:sp>
    <xdr:clientData/>
  </xdr:twoCellAnchor>
  <xdr:twoCellAnchor>
    <xdr:from>
      <xdr:col>22</xdr:col>
      <xdr:colOff>237037</xdr:colOff>
      <xdr:row>10</xdr:row>
      <xdr:rowOff>76160</xdr:rowOff>
    </xdr:from>
    <xdr:to>
      <xdr:col>28</xdr:col>
      <xdr:colOff>577409</xdr:colOff>
      <xdr:row>42</xdr:row>
      <xdr:rowOff>160836</xdr:rowOff>
    </xdr:to>
    <xdr:sp macro="" textlink="">
      <xdr:nvSpPr>
        <xdr:cNvPr id="39" name="Rectangle: Rounded Corners 38">
          <a:extLst>
            <a:ext uri="{FF2B5EF4-FFF2-40B4-BE49-F238E27FC236}">
              <a16:creationId xmlns:a16="http://schemas.microsoft.com/office/drawing/2014/main" id="{00000000-0008-0000-0400-000027000000}"/>
            </a:ext>
          </a:extLst>
        </xdr:cNvPr>
        <xdr:cNvSpPr/>
      </xdr:nvSpPr>
      <xdr:spPr>
        <a:xfrm>
          <a:off x="13648237" y="1885910"/>
          <a:ext cx="3997972" cy="587587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cap="none" spc="0">
              <a:ln w="0"/>
              <a:solidFill>
                <a:schemeClr val="accent1">
                  <a:lumMod val="50000"/>
                </a:schemeClr>
              </a:solidFill>
              <a:effectLst>
                <a:outerShdw blurRad="38100" dist="19050" dir="2700000" algn="tl" rotWithShape="0">
                  <a:schemeClr val="dk1">
                    <a:alpha val="40000"/>
                  </a:schemeClr>
                </a:outerShdw>
              </a:effectLst>
            </a:rPr>
            <a:t>Member locations</a:t>
          </a:r>
          <a:endParaRPr lang="en-GB" sz="1400" b="1" cap="none" spc="0">
            <a:ln w="0"/>
            <a:solidFill>
              <a:schemeClr val="accent1">
                <a:lumMod val="50000"/>
              </a:schemeClr>
            </a:solidFill>
            <a:effectLst>
              <a:outerShdw blurRad="38100" dist="19050" dir="2700000" algn="tl" rotWithShape="0">
                <a:schemeClr val="dk1">
                  <a:alpha val="40000"/>
                </a:schemeClr>
              </a:outerShdw>
            </a:effectLst>
          </a:endParaRPr>
        </a:p>
      </xdr:txBody>
    </xdr:sp>
    <xdr:clientData/>
  </xdr:twoCellAnchor>
  <xdr:twoCellAnchor>
    <xdr:from>
      <xdr:col>4</xdr:col>
      <xdr:colOff>59209</xdr:colOff>
      <xdr:row>24</xdr:row>
      <xdr:rowOff>102092</xdr:rowOff>
    </xdr:from>
    <xdr:to>
      <xdr:col>15</xdr:col>
      <xdr:colOff>396396</xdr:colOff>
      <xdr:row>43</xdr:row>
      <xdr:rowOff>9720</xdr:rowOff>
    </xdr:to>
    <xdr:sp macro="" textlink="">
      <xdr:nvSpPr>
        <xdr:cNvPr id="40" name="Rectangle: Rounded Corners 39">
          <a:extLst>
            <a:ext uri="{FF2B5EF4-FFF2-40B4-BE49-F238E27FC236}">
              <a16:creationId xmlns:a16="http://schemas.microsoft.com/office/drawing/2014/main" id="{00000000-0008-0000-0400-000028000000}"/>
            </a:ext>
          </a:extLst>
        </xdr:cNvPr>
        <xdr:cNvSpPr/>
      </xdr:nvSpPr>
      <xdr:spPr>
        <a:xfrm>
          <a:off x="2508495" y="4534133"/>
          <a:ext cx="7072722" cy="3416327"/>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cap="none" spc="0">
              <a:ln w="0"/>
              <a:solidFill>
                <a:schemeClr val="accent1">
                  <a:lumMod val="50000"/>
                </a:schemeClr>
              </a:solidFill>
              <a:effectLst>
                <a:outerShdw blurRad="38100" dist="19050" dir="2700000" algn="tl" rotWithShape="0">
                  <a:schemeClr val="dk1">
                    <a:alpha val="40000"/>
                  </a:schemeClr>
                </a:outerShdw>
              </a:effectLst>
            </a:rPr>
            <a:t>Educational qualification</a:t>
          </a:r>
          <a:endParaRPr lang="en-GB" sz="1400" b="1" cap="none" spc="0">
            <a:ln w="0"/>
            <a:solidFill>
              <a:schemeClr val="accent1">
                <a:lumMod val="50000"/>
              </a:schemeClr>
            </a:solidFill>
            <a:effectLst>
              <a:outerShdw blurRad="38100" dist="19050" dir="2700000" algn="tl" rotWithShape="0">
                <a:schemeClr val="dk1">
                  <a:alpha val="40000"/>
                </a:schemeClr>
              </a:outerShdw>
            </a:effectLst>
          </a:endParaRPr>
        </a:p>
      </xdr:txBody>
    </xdr:sp>
    <xdr:clientData/>
  </xdr:twoCellAnchor>
  <xdr:twoCellAnchor>
    <xdr:from>
      <xdr:col>16</xdr:col>
      <xdr:colOff>199090</xdr:colOff>
      <xdr:row>24</xdr:row>
      <xdr:rowOff>142679</xdr:rowOff>
    </xdr:from>
    <xdr:to>
      <xdr:col>21</xdr:col>
      <xdr:colOff>381155</xdr:colOff>
      <xdr:row>42</xdr:row>
      <xdr:rowOff>141982</xdr:rowOff>
    </xdr:to>
    <xdr:sp macro="" textlink="">
      <xdr:nvSpPr>
        <xdr:cNvPr id="41" name="Rectangle: Rounded Corners 40">
          <a:extLst>
            <a:ext uri="{FF2B5EF4-FFF2-40B4-BE49-F238E27FC236}">
              <a16:creationId xmlns:a16="http://schemas.microsoft.com/office/drawing/2014/main" id="{00000000-0008-0000-0400-000029000000}"/>
            </a:ext>
          </a:extLst>
        </xdr:cNvPr>
        <xdr:cNvSpPr/>
      </xdr:nvSpPr>
      <xdr:spPr>
        <a:xfrm>
          <a:off x="9996233" y="4574720"/>
          <a:ext cx="3243672" cy="3323333"/>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cap="none" spc="0">
              <a:ln w="0"/>
              <a:solidFill>
                <a:schemeClr val="accent1">
                  <a:lumMod val="50000"/>
                </a:schemeClr>
              </a:solidFill>
              <a:effectLst>
                <a:outerShdw blurRad="38100" dist="19050" dir="2700000" algn="tl" rotWithShape="0">
                  <a:schemeClr val="dk1">
                    <a:alpha val="40000"/>
                  </a:schemeClr>
                </a:outerShdw>
              </a:effectLst>
            </a:rPr>
            <a:t>Members employment type</a:t>
          </a:r>
          <a:endParaRPr lang="en-GB" sz="1400" b="1" cap="none" spc="0">
            <a:ln w="0"/>
            <a:solidFill>
              <a:schemeClr val="accent1">
                <a:lumMod val="50000"/>
              </a:schemeClr>
            </a:solidFill>
            <a:effectLst>
              <a:outerShdw blurRad="38100" dist="19050" dir="2700000" algn="tl" rotWithShape="0">
                <a:schemeClr val="dk1">
                  <a:alpha val="40000"/>
                </a:schemeClr>
              </a:outerShdw>
            </a:effectLst>
          </a:endParaRPr>
        </a:p>
      </xdr:txBody>
    </xdr:sp>
    <xdr:clientData/>
  </xdr:twoCellAnchor>
  <xdr:twoCellAnchor>
    <xdr:from>
      <xdr:col>4</xdr:col>
      <xdr:colOff>323731</xdr:colOff>
      <xdr:row>28</xdr:row>
      <xdr:rowOff>172227</xdr:rowOff>
    </xdr:from>
    <xdr:to>
      <xdr:col>15</xdr:col>
      <xdr:colOff>68035</xdr:colOff>
      <xdr:row>42</xdr:row>
      <xdr:rowOff>57617</xdr:rowOff>
    </xdr:to>
    <xdr:graphicFrame macro="">
      <xdr:nvGraphicFramePr>
        <xdr:cNvPr id="48" name="Chart 47">
          <a:extLst>
            <a:ext uri="{FF2B5EF4-FFF2-40B4-BE49-F238E27FC236}">
              <a16:creationId xmlns:a16="http://schemas.microsoft.com/office/drawing/2014/main" id="{00000000-0008-0000-0400-00003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385663</xdr:colOff>
      <xdr:row>27</xdr:row>
      <xdr:rowOff>115620</xdr:rowOff>
    </xdr:from>
    <xdr:to>
      <xdr:col>21</xdr:col>
      <xdr:colOff>346087</xdr:colOff>
      <xdr:row>42</xdr:row>
      <xdr:rowOff>92605</xdr:rowOff>
    </xdr:to>
    <xdr:graphicFrame macro="">
      <xdr:nvGraphicFramePr>
        <xdr:cNvPr id="49" name="Chart 48">
          <a:extLst>
            <a:ext uri="{FF2B5EF4-FFF2-40B4-BE49-F238E27FC236}">
              <a16:creationId xmlns:a16="http://schemas.microsoft.com/office/drawing/2014/main" id="{00000000-0008-0000-0400-00003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487057</xdr:colOff>
      <xdr:row>16</xdr:row>
      <xdr:rowOff>24337</xdr:rowOff>
    </xdr:from>
    <xdr:to>
      <xdr:col>15</xdr:col>
      <xdr:colOff>293487</xdr:colOff>
      <xdr:row>23</xdr:row>
      <xdr:rowOff>124699</xdr:rowOff>
    </xdr:to>
    <xdr:graphicFrame macro="">
      <xdr:nvGraphicFramePr>
        <xdr:cNvPr id="50" name="Chart 49">
          <a:extLst>
            <a:ext uri="{FF2B5EF4-FFF2-40B4-BE49-F238E27FC236}">
              <a16:creationId xmlns:a16="http://schemas.microsoft.com/office/drawing/2014/main" id="{00000000-0008-0000-04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22043</xdr:colOff>
      <xdr:row>16</xdr:row>
      <xdr:rowOff>48597</xdr:rowOff>
    </xdr:from>
    <xdr:to>
      <xdr:col>8</xdr:col>
      <xdr:colOff>447092</xdr:colOff>
      <xdr:row>24</xdr:row>
      <xdr:rowOff>44850</xdr:rowOff>
    </xdr:to>
    <xdr:graphicFrame macro="">
      <xdr:nvGraphicFramePr>
        <xdr:cNvPr id="51" name="Chart 50">
          <a:extLst>
            <a:ext uri="{FF2B5EF4-FFF2-40B4-BE49-F238E27FC236}">
              <a16:creationId xmlns:a16="http://schemas.microsoft.com/office/drawing/2014/main" id="{00000000-0008-0000-0400-00003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xdr:from>
          <xdr:col>18</xdr:col>
          <xdr:colOff>142875</xdr:colOff>
          <xdr:row>11</xdr:row>
          <xdr:rowOff>57150</xdr:rowOff>
        </xdr:from>
        <xdr:to>
          <xdr:col>20</xdr:col>
          <xdr:colOff>38100</xdr:colOff>
          <xdr:row>12</xdr:row>
          <xdr:rowOff>142875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400-000002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Refresh</a:t>
              </a:r>
            </a:p>
          </xdr:txBody>
        </xdr:sp>
        <xdr:clientData fPrintsWithSheet="0"/>
      </xdr:twoCellAnchor>
    </mc:Choice>
    <mc:Fallback/>
  </mc:AlternateContent>
  <xdr:twoCellAnchor>
    <xdr:from>
      <xdr:col>0</xdr:col>
      <xdr:colOff>50890</xdr:colOff>
      <xdr:row>8</xdr:row>
      <xdr:rowOff>66675</xdr:rowOff>
    </xdr:from>
    <xdr:to>
      <xdr:col>2</xdr:col>
      <xdr:colOff>228596</xdr:colOff>
      <xdr:row>11</xdr:row>
      <xdr:rowOff>28576</xdr:rowOff>
    </xdr:to>
    <xdr:grpSp>
      <xdr:nvGrpSpPr>
        <xdr:cNvPr id="65" name="Group 64">
          <a:hlinkClick xmlns:r="http://schemas.openxmlformats.org/officeDocument/2006/relationships" r:id="rId6"/>
          <a:extLst>
            <a:ext uri="{FF2B5EF4-FFF2-40B4-BE49-F238E27FC236}">
              <a16:creationId xmlns:a16="http://schemas.microsoft.com/office/drawing/2014/main" id="{00000000-0008-0000-0400-000041000000}"/>
            </a:ext>
          </a:extLst>
        </xdr:cNvPr>
        <xdr:cNvGrpSpPr/>
      </xdr:nvGrpSpPr>
      <xdr:grpSpPr>
        <a:xfrm>
          <a:off x="50890" y="1590675"/>
          <a:ext cx="1344519" cy="533401"/>
          <a:chOff x="236220" y="1135380"/>
          <a:chExt cx="2111570" cy="762002"/>
        </a:xfrm>
      </xdr:grpSpPr>
      <xdr:sp macro="" textlink="">
        <xdr:nvSpPr>
          <xdr:cNvPr id="66" name="TextBox 65">
            <a:extLst>
              <a:ext uri="{FF2B5EF4-FFF2-40B4-BE49-F238E27FC236}">
                <a16:creationId xmlns:a16="http://schemas.microsoft.com/office/drawing/2014/main" id="{00000000-0008-0000-0400-000042000000}"/>
              </a:ext>
            </a:extLst>
          </xdr:cNvPr>
          <xdr:cNvSpPr txBox="1"/>
        </xdr:nvSpPr>
        <xdr:spPr>
          <a:xfrm>
            <a:off x="823793" y="1363981"/>
            <a:ext cx="1523997"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rthographicFront"/>
              <a:lightRig rig="soft" dir="t">
                <a:rot lat="0" lon="0" rev="15600000"/>
              </a:lightRig>
            </a:scene3d>
            <a:sp3d extrusionH="57150" prstMaterial="softEdge">
              <a:bevelT w="25400" h="38100"/>
            </a:sp3d>
          </a:bodyPr>
          <a:lstStyle/>
          <a:p>
            <a:r>
              <a:rPr lang="en-US" sz="2000" b="1" cap="none" spc="0" baseline="0">
                <a:ln/>
                <a:solidFill>
                  <a:srgbClr val="FF0000"/>
                </a:solidFill>
                <a:effectLst/>
                <a:latin typeface="Tahoma" panose="020B0604030504040204" pitchFamily="34" charset="0"/>
                <a:ea typeface="Tahoma" panose="020B0604030504040204" pitchFamily="34" charset="0"/>
                <a:cs typeface="Tahoma" panose="020B0604030504040204" pitchFamily="34" charset="0"/>
              </a:rPr>
              <a:t>Home</a:t>
            </a:r>
            <a:endParaRPr lang="en-GB" sz="2000" b="1" cap="none" spc="0" baseline="0">
              <a:ln/>
              <a:solidFill>
                <a:srgbClr val="FF0000"/>
              </a:solidFill>
              <a:effectLst/>
              <a:latin typeface="Tahoma" panose="020B0604030504040204" pitchFamily="34" charset="0"/>
              <a:ea typeface="Tahoma" panose="020B0604030504040204" pitchFamily="34" charset="0"/>
              <a:cs typeface="Tahoma" panose="020B0604030504040204" pitchFamily="34" charset="0"/>
            </a:endParaRPr>
          </a:p>
        </xdr:txBody>
      </xdr:sp>
      <xdr:pic>
        <xdr:nvPicPr>
          <xdr:cNvPr id="67" name="Graphic 66" descr="Home">
            <a:extLst>
              <a:ext uri="{FF2B5EF4-FFF2-40B4-BE49-F238E27FC236}">
                <a16:creationId xmlns:a16="http://schemas.microsoft.com/office/drawing/2014/main" id="{00000000-0008-0000-0400-000043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236220" y="1135380"/>
            <a:ext cx="759600" cy="759600"/>
          </a:xfrm>
          <a:prstGeom prst="rect">
            <a:avLst/>
          </a:prstGeom>
        </xdr:spPr>
      </xdr:pic>
    </xdr:grpSp>
    <xdr:clientData/>
  </xdr:twoCellAnchor>
  <xdr:twoCellAnchor>
    <xdr:from>
      <xdr:col>0</xdr:col>
      <xdr:colOff>0</xdr:colOff>
      <xdr:row>13</xdr:row>
      <xdr:rowOff>0</xdr:rowOff>
    </xdr:from>
    <xdr:to>
      <xdr:col>3</xdr:col>
      <xdr:colOff>38099</xdr:colOff>
      <xdr:row>15</xdr:row>
      <xdr:rowOff>123826</xdr:rowOff>
    </xdr:to>
    <xdr:grpSp>
      <xdr:nvGrpSpPr>
        <xdr:cNvPr id="68" name="Group 67">
          <a:extLst>
            <a:ext uri="{FF2B5EF4-FFF2-40B4-BE49-F238E27FC236}">
              <a16:creationId xmlns:a16="http://schemas.microsoft.com/office/drawing/2014/main" id="{00000000-0008-0000-0400-000044000000}"/>
            </a:ext>
          </a:extLst>
        </xdr:cNvPr>
        <xdr:cNvGrpSpPr/>
      </xdr:nvGrpSpPr>
      <xdr:grpSpPr>
        <a:xfrm>
          <a:off x="0" y="2476500"/>
          <a:ext cx="1788318" cy="504826"/>
          <a:chOff x="243840" y="2095500"/>
          <a:chExt cx="2455724" cy="739140"/>
        </a:xfrm>
        <a:solidFill>
          <a:srgbClr val="FF0000"/>
        </a:solidFill>
      </xdr:grpSpPr>
      <xdr:sp macro="" textlink="">
        <xdr:nvSpPr>
          <xdr:cNvPr id="69" name="TextBox 68">
            <a:hlinkClick xmlns:r="http://schemas.openxmlformats.org/officeDocument/2006/relationships" r:id="rId9"/>
            <a:extLst>
              <a:ext uri="{FF2B5EF4-FFF2-40B4-BE49-F238E27FC236}">
                <a16:creationId xmlns:a16="http://schemas.microsoft.com/office/drawing/2014/main" id="{00000000-0008-0000-0400-000045000000}"/>
              </a:ext>
            </a:extLst>
          </xdr:cNvPr>
          <xdr:cNvSpPr txBox="1"/>
        </xdr:nvSpPr>
        <xdr:spPr>
          <a:xfrm>
            <a:off x="819292" y="2274885"/>
            <a:ext cx="1880272"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Data entry</a:t>
            </a:r>
            <a:endParaRPr lang="en-GB" sz="16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70" name="Graphic 69" descr="Checklist">
            <a:extLst>
              <a:ext uri="{FF2B5EF4-FFF2-40B4-BE49-F238E27FC236}">
                <a16:creationId xmlns:a16="http://schemas.microsoft.com/office/drawing/2014/main" id="{00000000-0008-0000-0400-000046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 uri="{96DAC541-7B7A-43D3-8B79-37D633B846F1}">
                <asvg:svgBlip xmlns:asvg="http://schemas.microsoft.com/office/drawing/2016/SVG/main" r:embed="rId11"/>
              </a:ext>
            </a:extLst>
          </a:blip>
          <a:stretch>
            <a:fillRect/>
          </a:stretch>
        </xdr:blipFill>
        <xdr:spPr>
          <a:xfrm>
            <a:off x="243840" y="2095500"/>
            <a:ext cx="739140" cy="739140"/>
          </a:xfrm>
          <a:prstGeom prst="rect">
            <a:avLst/>
          </a:prstGeom>
        </xdr:spPr>
      </xdr:pic>
    </xdr:grpSp>
    <xdr:clientData/>
  </xdr:twoCellAnchor>
  <xdr:twoCellAnchor>
    <xdr:from>
      <xdr:col>0</xdr:col>
      <xdr:colOff>1362</xdr:colOff>
      <xdr:row>17</xdr:row>
      <xdr:rowOff>131410</xdr:rowOff>
    </xdr:from>
    <xdr:to>
      <xdr:col>3</xdr:col>
      <xdr:colOff>28576</xdr:colOff>
      <xdr:row>20</xdr:row>
      <xdr:rowOff>95254</xdr:rowOff>
    </xdr:to>
    <xdr:grpSp>
      <xdr:nvGrpSpPr>
        <xdr:cNvPr id="71" name="Group 70">
          <a:extLst>
            <a:ext uri="{FF2B5EF4-FFF2-40B4-BE49-F238E27FC236}">
              <a16:creationId xmlns:a16="http://schemas.microsoft.com/office/drawing/2014/main" id="{00000000-0008-0000-0400-000047000000}"/>
            </a:ext>
          </a:extLst>
        </xdr:cNvPr>
        <xdr:cNvGrpSpPr/>
      </xdr:nvGrpSpPr>
      <xdr:grpSpPr>
        <a:xfrm>
          <a:off x="1362" y="3369910"/>
          <a:ext cx="1777433" cy="535344"/>
          <a:chOff x="251461" y="3340026"/>
          <a:chExt cx="2368452" cy="584274"/>
        </a:xfrm>
      </xdr:grpSpPr>
      <xdr:sp macro="" textlink="">
        <xdr:nvSpPr>
          <xdr:cNvPr id="72" name="TextBox 71">
            <a:hlinkClick xmlns:r="http://schemas.openxmlformats.org/officeDocument/2006/relationships" r:id="rId12"/>
            <a:extLst>
              <a:ext uri="{FF2B5EF4-FFF2-40B4-BE49-F238E27FC236}">
                <a16:creationId xmlns:a16="http://schemas.microsoft.com/office/drawing/2014/main" id="{00000000-0008-0000-0400-000048000000}"/>
              </a:ext>
            </a:extLst>
          </xdr:cNvPr>
          <xdr:cNvSpPr txBox="1"/>
        </xdr:nvSpPr>
        <xdr:spPr>
          <a:xfrm>
            <a:off x="762601" y="3340026"/>
            <a:ext cx="1857312"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Analysis</a:t>
            </a:r>
            <a:endParaRPr lang="en-GB" sz="16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73" name="Graphic 72" descr="Bar graph with upward trend">
            <a:extLst>
              <a:ext uri="{FF2B5EF4-FFF2-40B4-BE49-F238E27FC236}">
                <a16:creationId xmlns:a16="http://schemas.microsoft.com/office/drawing/2014/main" id="{00000000-0008-0000-0400-000049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251461" y="3342265"/>
            <a:ext cx="626747" cy="582035"/>
          </a:xfrm>
          <a:prstGeom prst="rect">
            <a:avLst/>
          </a:prstGeom>
        </xdr:spPr>
      </xdr:pic>
    </xdr:grpSp>
    <xdr:clientData/>
  </xdr:twoCellAnchor>
  <xdr:twoCellAnchor>
    <xdr:from>
      <xdr:col>0</xdr:col>
      <xdr:colOff>5714</xdr:colOff>
      <xdr:row>22</xdr:row>
      <xdr:rowOff>48461</xdr:rowOff>
    </xdr:from>
    <xdr:to>
      <xdr:col>3</xdr:col>
      <xdr:colOff>0</xdr:colOff>
      <xdr:row>25</xdr:row>
      <xdr:rowOff>66683</xdr:rowOff>
    </xdr:to>
    <xdr:grpSp>
      <xdr:nvGrpSpPr>
        <xdr:cNvPr id="74" name="Group 73">
          <a:extLst>
            <a:ext uri="{FF2B5EF4-FFF2-40B4-BE49-F238E27FC236}">
              <a16:creationId xmlns:a16="http://schemas.microsoft.com/office/drawing/2014/main" id="{00000000-0008-0000-0400-00004A000000}"/>
            </a:ext>
          </a:extLst>
        </xdr:cNvPr>
        <xdr:cNvGrpSpPr/>
      </xdr:nvGrpSpPr>
      <xdr:grpSpPr>
        <a:xfrm>
          <a:off x="5714" y="4239461"/>
          <a:ext cx="1744505" cy="589722"/>
          <a:chOff x="281940" y="4292442"/>
          <a:chExt cx="2001900" cy="645318"/>
        </a:xfrm>
      </xdr:grpSpPr>
      <xdr:sp macro="" textlink="">
        <xdr:nvSpPr>
          <xdr:cNvPr id="75" name="TextBox 74">
            <a:hlinkClick xmlns:r="http://schemas.openxmlformats.org/officeDocument/2006/relationships" r:id="rId15"/>
            <a:extLst>
              <a:ext uri="{FF2B5EF4-FFF2-40B4-BE49-F238E27FC236}">
                <a16:creationId xmlns:a16="http://schemas.microsoft.com/office/drawing/2014/main" id="{00000000-0008-0000-0400-00004B000000}"/>
              </a:ext>
            </a:extLst>
          </xdr:cNvPr>
          <xdr:cNvSpPr txBox="1"/>
        </xdr:nvSpPr>
        <xdr:spPr>
          <a:xfrm>
            <a:off x="759837" y="4292442"/>
            <a:ext cx="1524003" cy="533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Reports</a:t>
            </a:r>
            <a:endParaRPr lang="en-GB" sz="12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76" name="Graphic 75" descr="Presentation with bar chart RTL">
            <a:extLst>
              <a:ext uri="{FF2B5EF4-FFF2-40B4-BE49-F238E27FC236}">
                <a16:creationId xmlns:a16="http://schemas.microsoft.com/office/drawing/2014/main" id="{00000000-0008-0000-0400-00004C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 uri="{96DAC541-7B7A-43D3-8B79-37D633B846F1}">
                <asvg:svgBlip xmlns:asvg="http://schemas.microsoft.com/office/drawing/2016/SVG/main" r:embed="rId17"/>
              </a:ext>
            </a:extLst>
          </a:blip>
          <a:stretch>
            <a:fillRect/>
          </a:stretch>
        </xdr:blipFill>
        <xdr:spPr>
          <a:xfrm>
            <a:off x="281940" y="4327839"/>
            <a:ext cx="609921" cy="609921"/>
          </a:xfrm>
          <a:prstGeom prst="rect">
            <a:avLst/>
          </a:prstGeom>
        </xdr:spPr>
      </xdr:pic>
    </xdr:grpSp>
    <xdr:clientData/>
  </xdr:twoCellAnchor>
  <xdr:twoCellAnchor>
    <xdr:from>
      <xdr:col>0</xdr:col>
      <xdr:colOff>47626</xdr:colOff>
      <xdr:row>27</xdr:row>
      <xdr:rowOff>0</xdr:rowOff>
    </xdr:from>
    <xdr:to>
      <xdr:col>2</xdr:col>
      <xdr:colOff>428637</xdr:colOff>
      <xdr:row>29</xdr:row>
      <xdr:rowOff>38100</xdr:rowOff>
    </xdr:to>
    <xdr:grpSp>
      <xdr:nvGrpSpPr>
        <xdr:cNvPr id="77" name="Group 76">
          <a:extLst>
            <a:ext uri="{FF2B5EF4-FFF2-40B4-BE49-F238E27FC236}">
              <a16:creationId xmlns:a16="http://schemas.microsoft.com/office/drawing/2014/main" id="{00000000-0008-0000-0400-00004D000000}"/>
            </a:ext>
          </a:extLst>
        </xdr:cNvPr>
        <xdr:cNvGrpSpPr/>
      </xdr:nvGrpSpPr>
      <xdr:grpSpPr>
        <a:xfrm>
          <a:off x="47626" y="5143500"/>
          <a:ext cx="1547824" cy="419100"/>
          <a:chOff x="281940" y="5143500"/>
          <a:chExt cx="2085783" cy="716280"/>
        </a:xfrm>
        <a:solidFill>
          <a:srgbClr val="E84646"/>
        </a:solidFill>
      </xdr:grpSpPr>
      <xdr:sp macro="" textlink="">
        <xdr:nvSpPr>
          <xdr:cNvPr id="78" name="TextBox 77">
            <a:hlinkClick xmlns:r="http://schemas.openxmlformats.org/officeDocument/2006/relationships" r:id="rId18"/>
            <a:extLst>
              <a:ext uri="{FF2B5EF4-FFF2-40B4-BE49-F238E27FC236}">
                <a16:creationId xmlns:a16="http://schemas.microsoft.com/office/drawing/2014/main" id="{00000000-0008-0000-0400-00004E000000}"/>
              </a:ext>
            </a:extLst>
          </xdr:cNvPr>
          <xdr:cNvSpPr txBox="1"/>
        </xdr:nvSpPr>
        <xdr:spPr>
          <a:xfrm>
            <a:off x="843711" y="5242560"/>
            <a:ext cx="1524012"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Setup</a:t>
            </a:r>
            <a:endParaRPr lang="en-GB" sz="12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79" name="Graphic 78" descr="Single gear">
            <a:extLst>
              <a:ext uri="{FF2B5EF4-FFF2-40B4-BE49-F238E27FC236}">
                <a16:creationId xmlns:a16="http://schemas.microsoft.com/office/drawing/2014/main" id="{00000000-0008-0000-0400-00004F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 uri="{96DAC541-7B7A-43D3-8B79-37D633B846F1}">
                <asvg:svgBlip xmlns:asvg="http://schemas.microsoft.com/office/drawing/2016/SVG/main" r:embed="rId20"/>
              </a:ext>
            </a:extLst>
          </a:blip>
          <a:stretch>
            <a:fillRect/>
          </a:stretch>
        </xdr:blipFill>
        <xdr:spPr>
          <a:xfrm>
            <a:off x="281940" y="5143500"/>
            <a:ext cx="716280" cy="716280"/>
          </a:xfrm>
          <a:prstGeom prst="rect">
            <a:avLst/>
          </a:prstGeom>
        </xdr:spPr>
      </xdr:pic>
    </xdr:grpSp>
    <xdr:clientData/>
  </xdr:twoCellAnchor>
  <xdr:twoCellAnchor>
    <xdr:from>
      <xdr:col>6</xdr:col>
      <xdr:colOff>295275</xdr:colOff>
      <xdr:row>0</xdr:row>
      <xdr:rowOff>114300</xdr:rowOff>
    </xdr:from>
    <xdr:to>
      <xdr:col>24</xdr:col>
      <xdr:colOff>101821</xdr:colOff>
      <xdr:row>3</xdr:row>
      <xdr:rowOff>161845</xdr:rowOff>
    </xdr:to>
    <xdr:sp macro="" textlink="">
      <xdr:nvSpPr>
        <xdr:cNvPr id="80" name="TextBox 79">
          <a:extLst>
            <a:ext uri="{FF2B5EF4-FFF2-40B4-BE49-F238E27FC236}">
              <a16:creationId xmlns:a16="http://schemas.microsoft.com/office/drawing/2014/main" id="{00000000-0008-0000-0400-000050000000}"/>
            </a:ext>
          </a:extLst>
        </xdr:cNvPr>
        <xdr:cNvSpPr txBox="1"/>
      </xdr:nvSpPr>
      <xdr:spPr>
        <a:xfrm>
          <a:off x="3895725" y="114300"/>
          <a:ext cx="10607896" cy="590470"/>
        </a:xfrm>
        <a:prstGeom prst="rect">
          <a:avLst/>
        </a:prstGeom>
        <a:noFill/>
        <a:ln w="9525" cmpd="sng">
          <a:no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ysClr val="windowText" lastClr="000000"/>
              </a:solidFill>
              <a:latin typeface="Tahoma" panose="020B0604030504040204" pitchFamily="34" charset="0"/>
              <a:ea typeface="Tahoma" panose="020B0604030504040204" pitchFamily="34" charset="0"/>
              <a:cs typeface="Tahoma" panose="020B0604030504040204" pitchFamily="34" charset="0"/>
            </a:rPr>
            <a:t>PSI-SUSAS Membership Data Management System</a:t>
          </a:r>
          <a:endParaRPr lang="en-GB" sz="3200" b="1">
            <a:solidFill>
              <a:sysClr val="windowText" lastClr="000000"/>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16</xdr:col>
      <xdr:colOff>257175</xdr:colOff>
      <xdr:row>16</xdr:row>
      <xdr:rowOff>142875</xdr:rowOff>
    </xdr:from>
    <xdr:to>
      <xdr:col>21</xdr:col>
      <xdr:colOff>197652</xdr:colOff>
      <xdr:row>23</xdr:row>
      <xdr:rowOff>57151</xdr:rowOff>
    </xdr:to>
    <xdr:graphicFrame macro="">
      <xdr:nvGraphicFramePr>
        <xdr:cNvPr id="38" name="Chart 37">
          <a:extLst>
            <a:ext uri="{FF2B5EF4-FFF2-40B4-BE49-F238E27FC236}">
              <a16:creationId xmlns:a16="http://schemas.microsoft.com/office/drawing/2014/main" id="{00000000-0008-0000-0400-00002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xdr:col>
      <xdr:colOff>295275</xdr:colOff>
      <xdr:row>18</xdr:row>
      <xdr:rowOff>152399</xdr:rowOff>
    </xdr:from>
    <xdr:to>
      <xdr:col>7</xdr:col>
      <xdr:colOff>419100</xdr:colOff>
      <xdr:row>21</xdr:row>
      <xdr:rowOff>152399</xdr:rowOff>
    </xdr:to>
    <xdr:sp macro="" textlink="Analysis!G19">
      <xdr:nvSpPr>
        <xdr:cNvPr id="4" name="TextBox 3">
          <a:extLst>
            <a:ext uri="{FF2B5EF4-FFF2-40B4-BE49-F238E27FC236}">
              <a16:creationId xmlns:a16="http://schemas.microsoft.com/office/drawing/2014/main" id="{00000000-0008-0000-0400-000004000000}"/>
            </a:ext>
          </a:extLst>
        </xdr:cNvPr>
        <xdr:cNvSpPr txBox="1"/>
      </xdr:nvSpPr>
      <xdr:spPr>
        <a:xfrm>
          <a:off x="3895725" y="3409949"/>
          <a:ext cx="723900" cy="542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b="1" i="0" u="none" strike="noStrike">
              <a:solidFill>
                <a:srgbClr val="000000"/>
              </a:solidFill>
              <a:latin typeface="Calibri"/>
              <a:ea typeface="Calibri"/>
              <a:cs typeface="Calibri"/>
            </a:rPr>
            <a:t>58</a:t>
          </a:r>
          <a:endParaRPr lang="en-GB" sz="2400" b="1"/>
        </a:p>
      </xdr:txBody>
    </xdr:sp>
    <xdr:clientData/>
  </xdr:twoCellAnchor>
  <xdr:twoCellAnchor editAs="oneCell">
    <xdr:from>
      <xdr:col>0</xdr:col>
      <xdr:colOff>77229</xdr:colOff>
      <xdr:row>0</xdr:row>
      <xdr:rowOff>9525</xdr:rowOff>
    </xdr:from>
    <xdr:to>
      <xdr:col>2</xdr:col>
      <xdr:colOff>409575</xdr:colOff>
      <xdr:row>7</xdr:row>
      <xdr:rowOff>171449</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2" cstate="print">
          <a:extLst>
            <a:ext uri="{28A0092B-C50C-407E-A947-70E740481C1C}">
              <a14:useLocalDpi xmlns:a14="http://schemas.microsoft.com/office/drawing/2010/main" val="0"/>
            </a:ext>
          </a:extLst>
        </a:blip>
        <a:stretch>
          <a:fillRect/>
        </a:stretch>
      </xdr:blipFill>
      <xdr:spPr>
        <a:xfrm>
          <a:off x="77229" y="9525"/>
          <a:ext cx="1532496" cy="1428749"/>
        </a:xfrm>
        <a:prstGeom prst="rect">
          <a:avLst/>
        </a:prstGeom>
      </xdr:spPr>
    </xdr:pic>
    <xdr:clientData/>
  </xdr:twoCellAnchor>
  <xdr:twoCellAnchor>
    <xdr:from>
      <xdr:col>22</xdr:col>
      <xdr:colOff>247649</xdr:colOff>
      <xdr:row>14</xdr:row>
      <xdr:rowOff>57110</xdr:rowOff>
    </xdr:from>
    <xdr:to>
      <xdr:col>28</xdr:col>
      <xdr:colOff>541836</xdr:colOff>
      <xdr:row>43</xdr:row>
      <xdr:rowOff>1</xdr:rowOff>
    </xdr:to>
    <mc:AlternateContent xmlns:mc="http://schemas.openxmlformats.org/markup-compatibility/2006">
      <mc:Choice xmlns:cx4="http://schemas.microsoft.com/office/drawing/2016/5/10/chartex" Requires="cx4">
        <xdr:graphicFrame macro="">
          <xdr:nvGraphicFramePr>
            <xdr:cNvPr id="43" name="Chart 42">
              <a:extLst>
                <a:ext uri="{FF2B5EF4-FFF2-40B4-BE49-F238E27FC236}">
                  <a16:creationId xmlns:a16="http://schemas.microsoft.com/office/drawing/2014/main" id="{00000000-0008-0000-0400-00002B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23"/>
            </a:graphicData>
          </a:graphic>
        </xdr:graphicFrame>
      </mc:Choice>
      <mc:Fallback>
        <xdr:sp macro="" textlink="">
          <xdr:nvSpPr>
            <xdr:cNvPr id="0" name=""/>
            <xdr:cNvSpPr>
              <a:spLocks noTextEdit="1"/>
            </xdr:cNvSpPr>
          </xdr:nvSpPr>
          <xdr:spPr>
            <a:xfrm>
              <a:off x="13030199" y="2724110"/>
              <a:ext cx="3780337" cy="5467391"/>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wsDr>
</file>

<file path=xl/drawings/drawing5.xml><?xml version="1.0" encoding="utf-8"?>
<c:userShapes xmlns:c="http://schemas.openxmlformats.org/drawingml/2006/chart">
  <cdr:relSizeAnchor xmlns:cdr="http://schemas.openxmlformats.org/drawingml/2006/chartDrawing">
    <cdr:from>
      <cdr:x>0.3745</cdr:x>
      <cdr:y>0.30211</cdr:y>
    </cdr:from>
    <cdr:to>
      <cdr:x>0.65309</cdr:x>
      <cdr:y>0.71764</cdr:y>
    </cdr:to>
    <cdr:sp macro="" textlink="Analysis!$G$18">
      <cdr:nvSpPr>
        <cdr:cNvPr id="3" name="TextBox 37">
          <a:extLst xmlns:a="http://schemas.openxmlformats.org/drawingml/2006/main">
            <a:ext uri="{FF2B5EF4-FFF2-40B4-BE49-F238E27FC236}">
              <a16:creationId xmlns:a16="http://schemas.microsoft.com/office/drawing/2014/main" id="{69A2A35A-5FEC-45E6-8222-E752A60E6104}"/>
            </a:ext>
          </a:extLst>
        </cdr:cNvPr>
        <cdr:cNvSpPr txBox="1"/>
      </cdr:nvSpPr>
      <cdr:spPr>
        <a:xfrm xmlns:a="http://schemas.openxmlformats.org/drawingml/2006/main">
          <a:off x="847833" y="445187"/>
          <a:ext cx="630720" cy="612322"/>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t"/>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fld id="{88DEC1DC-7B3E-40C7-9696-E02E9DD2DF89}" type="TxLink">
            <a:rPr lang="en-US" sz="2800" b="1" i="0" u="none" strike="noStrike">
              <a:solidFill>
                <a:srgbClr val="000000"/>
              </a:solidFill>
              <a:latin typeface="Calibri"/>
              <a:ea typeface="Calibri"/>
              <a:cs typeface="Calibri"/>
            </a:rPr>
            <a:pPr/>
            <a:t> </a:t>
          </a:fld>
          <a:endParaRPr lang="en-GB" sz="5400" b="1"/>
        </a:p>
      </cdr:txBody>
    </cdr:sp>
  </cdr:relSizeAnchor>
</c:userShapes>
</file>

<file path=xl/drawings/drawing6.xml><?xml version="1.0" encoding="utf-8"?>
<xdr:wsDr xmlns:xdr="http://schemas.openxmlformats.org/drawingml/2006/spreadsheetDrawing" xmlns:a="http://schemas.openxmlformats.org/drawingml/2006/main">
  <xdr:twoCellAnchor>
    <xdr:from>
      <xdr:col>3</xdr:col>
      <xdr:colOff>523876</xdr:colOff>
      <xdr:row>0</xdr:row>
      <xdr:rowOff>0</xdr:rowOff>
    </xdr:from>
    <xdr:to>
      <xdr:col>23</xdr:col>
      <xdr:colOff>209550</xdr:colOff>
      <xdr:row>4</xdr:row>
      <xdr:rowOff>174899</xdr:rowOff>
    </xdr:to>
    <xdr:sp macro="" textlink="">
      <xdr:nvSpPr>
        <xdr:cNvPr id="2" name="Rectangle: Rounded Corners 1">
          <a:extLst>
            <a:ext uri="{FF2B5EF4-FFF2-40B4-BE49-F238E27FC236}">
              <a16:creationId xmlns:a16="http://schemas.microsoft.com/office/drawing/2014/main" id="{00000000-0008-0000-0500-000002000000}"/>
            </a:ext>
          </a:extLst>
        </xdr:cNvPr>
        <xdr:cNvSpPr/>
      </xdr:nvSpPr>
      <xdr:spPr>
        <a:xfrm>
          <a:off x="2352676" y="0"/>
          <a:ext cx="15049499" cy="898799"/>
        </a:xfrm>
        <a:prstGeom prst="roundRect">
          <a:avLst/>
        </a:prstGeom>
        <a:solidFill>
          <a:srgbClr val="FF0000"/>
        </a:solidFill>
        <a:ln w="76200">
          <a:noFill/>
        </a:ln>
        <a:effectLst>
          <a:glow rad="139700">
            <a:srgbClr val="FF0000">
              <a:alpha val="40000"/>
            </a:srgbClr>
          </a:glow>
        </a:effectLst>
        <a:scene3d>
          <a:camera prst="orthographicFront">
            <a:rot lat="0" lon="0" rev="0"/>
          </a:camera>
          <a:lightRig rig="glow" dir="t">
            <a:rot lat="0" lon="0" rev="14100000"/>
          </a:lightRig>
        </a:scene3d>
        <a:sp3d prstMaterial="softEdge">
          <a:bevelT w="127000" prst="artDeco"/>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0</xdr:colOff>
      <xdr:row>0</xdr:row>
      <xdr:rowOff>9525</xdr:rowOff>
    </xdr:from>
    <xdr:to>
      <xdr:col>2</xdr:col>
      <xdr:colOff>587828</xdr:colOff>
      <xdr:row>72</xdr:row>
      <xdr:rowOff>13880</xdr:rowOff>
    </xdr:to>
    <xdr:sp macro="" textlink="">
      <xdr:nvSpPr>
        <xdr:cNvPr id="3" name="Rectangle 2">
          <a:extLst>
            <a:ext uri="{FF2B5EF4-FFF2-40B4-BE49-F238E27FC236}">
              <a16:creationId xmlns:a16="http://schemas.microsoft.com/office/drawing/2014/main" id="{00000000-0008-0000-0500-000003000000}"/>
            </a:ext>
          </a:extLst>
        </xdr:cNvPr>
        <xdr:cNvSpPr/>
      </xdr:nvSpPr>
      <xdr:spPr>
        <a:xfrm>
          <a:off x="0" y="9525"/>
          <a:ext cx="1807028" cy="13034555"/>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xdr:col>
      <xdr:colOff>370105</xdr:colOff>
      <xdr:row>11</xdr:row>
      <xdr:rowOff>44900</xdr:rowOff>
    </xdr:from>
    <xdr:to>
      <xdr:col>10</xdr:col>
      <xdr:colOff>0</xdr:colOff>
      <xdr:row>13</xdr:row>
      <xdr:rowOff>77558</xdr:rowOff>
    </xdr:to>
    <xdr:sp macro="" textlink="">
      <xdr:nvSpPr>
        <xdr:cNvPr id="41" name="TextBox 40">
          <a:extLst>
            <a:ext uri="{FF2B5EF4-FFF2-40B4-BE49-F238E27FC236}">
              <a16:creationId xmlns:a16="http://schemas.microsoft.com/office/drawing/2014/main" id="{00000000-0008-0000-0500-000029000000}"/>
            </a:ext>
          </a:extLst>
        </xdr:cNvPr>
        <xdr:cNvSpPr txBox="1"/>
      </xdr:nvSpPr>
      <xdr:spPr>
        <a:xfrm>
          <a:off x="2198905" y="2035625"/>
          <a:ext cx="5904139" cy="394608"/>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4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latin typeface="Algerian" panose="04020705040A02060702" pitchFamily="82" charset="0"/>
            </a:rPr>
            <a:t>add ons</a:t>
          </a:r>
          <a:endParaRPr lang="en-GB" sz="2400" b="0" cap="none" spc="0">
            <a:ln w="0"/>
            <a:gradFill>
              <a:gsLst>
                <a:gs pos="0">
                  <a:schemeClr val="accent5">
                    <a:lumMod val="50000"/>
                  </a:schemeClr>
                </a:gs>
                <a:gs pos="50000">
                  <a:schemeClr val="accent5"/>
                </a:gs>
                <a:gs pos="100000">
                  <a:schemeClr val="accent5">
                    <a:lumMod val="60000"/>
                    <a:lumOff val="40000"/>
                  </a:schemeClr>
                </a:gs>
              </a:gsLst>
              <a:lin ang="5400000"/>
            </a:gradFill>
            <a:effectLst>
              <a:reflection blurRad="6350" stA="53000" endA="300" endPos="35500" dir="5400000" sy="-90000" algn="bl" rotWithShape="0"/>
            </a:effectLst>
            <a:latin typeface="Algerian" panose="04020705040A02060702" pitchFamily="82" charset="0"/>
          </a:endParaRPr>
        </a:p>
      </xdr:txBody>
    </xdr:sp>
    <xdr:clientData/>
  </xdr:twoCellAnchor>
  <xdr:twoCellAnchor>
    <xdr:from>
      <xdr:col>6</xdr:col>
      <xdr:colOff>838200</xdr:colOff>
      <xdr:row>0</xdr:row>
      <xdr:rowOff>142875</xdr:rowOff>
    </xdr:from>
    <xdr:to>
      <xdr:col>19</xdr:col>
      <xdr:colOff>349471</xdr:colOff>
      <xdr:row>4</xdr:row>
      <xdr:rowOff>9445</xdr:rowOff>
    </xdr:to>
    <xdr:sp macro="" textlink="">
      <xdr:nvSpPr>
        <xdr:cNvPr id="57" name="TextBox 56">
          <a:extLst>
            <a:ext uri="{FF2B5EF4-FFF2-40B4-BE49-F238E27FC236}">
              <a16:creationId xmlns:a16="http://schemas.microsoft.com/office/drawing/2014/main" id="{00000000-0008-0000-0500-000039000000}"/>
            </a:ext>
          </a:extLst>
        </xdr:cNvPr>
        <xdr:cNvSpPr txBox="1"/>
      </xdr:nvSpPr>
      <xdr:spPr>
        <a:xfrm>
          <a:off x="4495800" y="142875"/>
          <a:ext cx="10607896" cy="590470"/>
        </a:xfrm>
        <a:prstGeom prst="rect">
          <a:avLst/>
        </a:prstGeom>
        <a:noFill/>
        <a:ln w="9525" cmpd="sng">
          <a:no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3200" b="1">
              <a:solidFill>
                <a:schemeClr val="tx1"/>
              </a:solidFill>
              <a:latin typeface="Tahoma" panose="020B0604030504040204" pitchFamily="34" charset="0"/>
              <a:ea typeface="Tahoma" panose="020B0604030504040204" pitchFamily="34" charset="0"/>
              <a:cs typeface="Tahoma" panose="020B0604030504040204" pitchFamily="34" charset="0"/>
            </a:rPr>
            <a:t>PSI-SUSAS Membership Data Management System</a:t>
          </a:r>
          <a:endParaRPr lang="en-GB" sz="3200" b="1">
            <a:solidFill>
              <a:schemeClr val="tx1"/>
            </a:solidFill>
            <a:latin typeface="Tahoma" panose="020B0604030504040204" pitchFamily="34" charset="0"/>
            <a:ea typeface="Tahoma" panose="020B0604030504040204" pitchFamily="34" charset="0"/>
            <a:cs typeface="Tahoma" panose="020B0604030504040204" pitchFamily="34" charset="0"/>
          </a:endParaRPr>
        </a:p>
      </xdr:txBody>
    </xdr:sp>
    <xdr:clientData/>
  </xdr:twoCellAnchor>
  <xdr:twoCellAnchor>
    <xdr:from>
      <xdr:col>0</xdr:col>
      <xdr:colOff>50890</xdr:colOff>
      <xdr:row>8</xdr:row>
      <xdr:rowOff>57150</xdr:rowOff>
    </xdr:from>
    <xdr:to>
      <xdr:col>2</xdr:col>
      <xdr:colOff>209546</xdr:colOff>
      <xdr:row>11</xdr:row>
      <xdr:rowOff>19051</xdr:rowOff>
    </xdr:to>
    <xdr:grpSp>
      <xdr:nvGrpSpPr>
        <xdr:cNvPr id="22" name="Group 21">
          <a:hlinkClick xmlns:r="http://schemas.openxmlformats.org/officeDocument/2006/relationships" r:id="rId1"/>
          <a:extLst>
            <a:ext uri="{FF2B5EF4-FFF2-40B4-BE49-F238E27FC236}">
              <a16:creationId xmlns:a16="http://schemas.microsoft.com/office/drawing/2014/main" id="{00000000-0008-0000-0500-000016000000}"/>
            </a:ext>
          </a:extLst>
        </xdr:cNvPr>
        <xdr:cNvGrpSpPr/>
      </xdr:nvGrpSpPr>
      <xdr:grpSpPr>
        <a:xfrm>
          <a:off x="50890" y="1581150"/>
          <a:ext cx="1349281" cy="533401"/>
          <a:chOff x="236220" y="1135380"/>
          <a:chExt cx="2111570" cy="762002"/>
        </a:xfrm>
      </xdr:grpSpPr>
      <xdr:sp macro="" textlink="">
        <xdr:nvSpPr>
          <xdr:cNvPr id="23" name="TextBox 22">
            <a:extLst>
              <a:ext uri="{FF2B5EF4-FFF2-40B4-BE49-F238E27FC236}">
                <a16:creationId xmlns:a16="http://schemas.microsoft.com/office/drawing/2014/main" id="{00000000-0008-0000-0500-000017000000}"/>
              </a:ext>
            </a:extLst>
          </xdr:cNvPr>
          <xdr:cNvSpPr txBox="1"/>
        </xdr:nvSpPr>
        <xdr:spPr>
          <a:xfrm>
            <a:off x="823793" y="1363981"/>
            <a:ext cx="1523997"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rthographicFront"/>
              <a:lightRig rig="soft" dir="t">
                <a:rot lat="0" lon="0" rev="15600000"/>
              </a:lightRig>
            </a:scene3d>
            <a:sp3d extrusionH="57150" prstMaterial="softEdge">
              <a:bevelT w="25400" h="38100"/>
            </a:sp3d>
          </a:bodyPr>
          <a:lstStyle/>
          <a:p>
            <a:r>
              <a:rPr lang="en-US" sz="2000" b="1" cap="none" spc="0" baseline="0">
                <a:ln/>
                <a:solidFill>
                  <a:srgbClr val="FF0000"/>
                </a:solidFill>
                <a:effectLst/>
                <a:latin typeface="Tahoma" panose="020B0604030504040204" pitchFamily="34" charset="0"/>
                <a:ea typeface="Tahoma" panose="020B0604030504040204" pitchFamily="34" charset="0"/>
                <a:cs typeface="Tahoma" panose="020B0604030504040204" pitchFamily="34" charset="0"/>
              </a:rPr>
              <a:t>Home</a:t>
            </a:r>
            <a:endParaRPr lang="en-GB" sz="2000" b="1" cap="none" spc="0" baseline="0">
              <a:ln/>
              <a:solidFill>
                <a:srgbClr val="FF0000"/>
              </a:solidFill>
              <a:effectLst/>
              <a:latin typeface="Tahoma" panose="020B0604030504040204" pitchFamily="34" charset="0"/>
              <a:ea typeface="Tahoma" panose="020B0604030504040204" pitchFamily="34" charset="0"/>
              <a:cs typeface="Tahoma" panose="020B0604030504040204" pitchFamily="34" charset="0"/>
            </a:endParaRPr>
          </a:p>
        </xdr:txBody>
      </xdr:sp>
      <xdr:pic>
        <xdr:nvPicPr>
          <xdr:cNvPr id="24" name="Graphic 23" descr="Home">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236220" y="1135380"/>
            <a:ext cx="759600" cy="759600"/>
          </a:xfrm>
          <a:prstGeom prst="rect">
            <a:avLst/>
          </a:prstGeom>
        </xdr:spPr>
      </xdr:pic>
    </xdr:grpSp>
    <xdr:clientData/>
  </xdr:twoCellAnchor>
  <xdr:twoCellAnchor>
    <xdr:from>
      <xdr:col>0</xdr:col>
      <xdr:colOff>0</xdr:colOff>
      <xdr:row>12</xdr:row>
      <xdr:rowOff>171450</xdr:rowOff>
    </xdr:from>
    <xdr:to>
      <xdr:col>3</xdr:col>
      <xdr:colOff>9524</xdr:colOff>
      <xdr:row>15</xdr:row>
      <xdr:rowOff>114301</xdr:rowOff>
    </xdr:to>
    <xdr:grpSp>
      <xdr:nvGrpSpPr>
        <xdr:cNvPr id="25" name="Group 24">
          <a:extLst>
            <a:ext uri="{FF2B5EF4-FFF2-40B4-BE49-F238E27FC236}">
              <a16:creationId xmlns:a16="http://schemas.microsoft.com/office/drawing/2014/main" id="{00000000-0008-0000-0500-000019000000}"/>
            </a:ext>
          </a:extLst>
        </xdr:cNvPr>
        <xdr:cNvGrpSpPr/>
      </xdr:nvGrpSpPr>
      <xdr:grpSpPr>
        <a:xfrm>
          <a:off x="0" y="2457450"/>
          <a:ext cx="1795462" cy="514351"/>
          <a:chOff x="243840" y="2095500"/>
          <a:chExt cx="2455724" cy="739140"/>
        </a:xfrm>
        <a:solidFill>
          <a:srgbClr val="FF0000"/>
        </a:solidFill>
      </xdr:grpSpPr>
      <xdr:sp macro="" textlink="">
        <xdr:nvSpPr>
          <xdr:cNvPr id="26" name="TextBox 25">
            <a:hlinkClick xmlns:r="http://schemas.openxmlformats.org/officeDocument/2006/relationships" r:id="rId4"/>
            <a:extLst>
              <a:ext uri="{FF2B5EF4-FFF2-40B4-BE49-F238E27FC236}">
                <a16:creationId xmlns:a16="http://schemas.microsoft.com/office/drawing/2014/main" id="{00000000-0008-0000-0500-00001A000000}"/>
              </a:ext>
            </a:extLst>
          </xdr:cNvPr>
          <xdr:cNvSpPr txBox="1"/>
        </xdr:nvSpPr>
        <xdr:spPr>
          <a:xfrm>
            <a:off x="819292" y="2274885"/>
            <a:ext cx="1880272" cy="533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Data entry</a:t>
            </a:r>
            <a:endParaRPr lang="en-GB" sz="16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27" name="Graphic 26" descr="Checklist">
            <a:extLst>
              <a:ext uri="{FF2B5EF4-FFF2-40B4-BE49-F238E27FC236}">
                <a16:creationId xmlns:a16="http://schemas.microsoft.com/office/drawing/2014/main" id="{00000000-0008-0000-0500-00001B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43840" y="2095500"/>
            <a:ext cx="739140" cy="739140"/>
          </a:xfrm>
          <a:prstGeom prst="rect">
            <a:avLst/>
          </a:prstGeom>
        </xdr:spPr>
      </xdr:pic>
    </xdr:grpSp>
    <xdr:clientData/>
  </xdr:twoCellAnchor>
  <xdr:twoCellAnchor>
    <xdr:from>
      <xdr:col>0</xdr:col>
      <xdr:colOff>1362</xdr:colOff>
      <xdr:row>16</xdr:row>
      <xdr:rowOff>121885</xdr:rowOff>
    </xdr:from>
    <xdr:to>
      <xdr:col>3</xdr:col>
      <xdr:colOff>1</xdr:colOff>
      <xdr:row>19</xdr:row>
      <xdr:rowOff>85729</xdr:rowOff>
    </xdr:to>
    <xdr:grpSp>
      <xdr:nvGrpSpPr>
        <xdr:cNvPr id="28" name="Group 27">
          <a:extLst>
            <a:ext uri="{FF2B5EF4-FFF2-40B4-BE49-F238E27FC236}">
              <a16:creationId xmlns:a16="http://schemas.microsoft.com/office/drawing/2014/main" id="{00000000-0008-0000-0500-00001C000000}"/>
            </a:ext>
          </a:extLst>
        </xdr:cNvPr>
        <xdr:cNvGrpSpPr/>
      </xdr:nvGrpSpPr>
      <xdr:grpSpPr>
        <a:xfrm>
          <a:off x="1362" y="3360385"/>
          <a:ext cx="1784577" cy="535344"/>
          <a:chOff x="251461" y="3340026"/>
          <a:chExt cx="2368452" cy="584274"/>
        </a:xfrm>
      </xdr:grpSpPr>
      <xdr:sp macro="" textlink="">
        <xdr:nvSpPr>
          <xdr:cNvPr id="29" name="TextBox 28">
            <a:hlinkClick xmlns:r="http://schemas.openxmlformats.org/officeDocument/2006/relationships" r:id="rId7"/>
            <a:extLst>
              <a:ext uri="{FF2B5EF4-FFF2-40B4-BE49-F238E27FC236}">
                <a16:creationId xmlns:a16="http://schemas.microsoft.com/office/drawing/2014/main" id="{00000000-0008-0000-0500-00001D000000}"/>
              </a:ext>
            </a:extLst>
          </xdr:cNvPr>
          <xdr:cNvSpPr txBox="1"/>
        </xdr:nvSpPr>
        <xdr:spPr>
          <a:xfrm>
            <a:off x="762601" y="3340026"/>
            <a:ext cx="1857312"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Analysis</a:t>
            </a:r>
            <a:endParaRPr lang="en-GB" sz="16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30" name="Graphic 29" descr="Bar graph with upward trend">
            <a:extLst>
              <a:ext uri="{FF2B5EF4-FFF2-40B4-BE49-F238E27FC236}">
                <a16:creationId xmlns:a16="http://schemas.microsoft.com/office/drawing/2014/main" id="{00000000-0008-0000-0500-00001E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251461" y="3342265"/>
            <a:ext cx="626747" cy="582035"/>
          </a:xfrm>
          <a:prstGeom prst="rect">
            <a:avLst/>
          </a:prstGeom>
        </xdr:spPr>
      </xdr:pic>
    </xdr:grpSp>
    <xdr:clientData/>
  </xdr:twoCellAnchor>
  <xdr:twoCellAnchor>
    <xdr:from>
      <xdr:col>0</xdr:col>
      <xdr:colOff>5714</xdr:colOff>
      <xdr:row>21</xdr:row>
      <xdr:rowOff>38936</xdr:rowOff>
    </xdr:from>
    <xdr:to>
      <xdr:col>2</xdr:col>
      <xdr:colOff>581025</xdr:colOff>
      <xdr:row>24</xdr:row>
      <xdr:rowOff>57158</xdr:rowOff>
    </xdr:to>
    <xdr:grpSp>
      <xdr:nvGrpSpPr>
        <xdr:cNvPr id="31" name="Group 30">
          <a:extLst>
            <a:ext uri="{FF2B5EF4-FFF2-40B4-BE49-F238E27FC236}">
              <a16:creationId xmlns:a16="http://schemas.microsoft.com/office/drawing/2014/main" id="{00000000-0008-0000-0500-00001F000000}"/>
            </a:ext>
          </a:extLst>
        </xdr:cNvPr>
        <xdr:cNvGrpSpPr/>
      </xdr:nvGrpSpPr>
      <xdr:grpSpPr>
        <a:xfrm>
          <a:off x="5714" y="4229936"/>
          <a:ext cx="1765936" cy="589722"/>
          <a:chOff x="281940" y="4292442"/>
          <a:chExt cx="2001900" cy="645318"/>
        </a:xfrm>
      </xdr:grpSpPr>
      <xdr:sp macro="" textlink="">
        <xdr:nvSpPr>
          <xdr:cNvPr id="32" name="TextBox 31">
            <a:hlinkClick xmlns:r="http://schemas.openxmlformats.org/officeDocument/2006/relationships" r:id="rId10"/>
            <a:extLst>
              <a:ext uri="{FF2B5EF4-FFF2-40B4-BE49-F238E27FC236}">
                <a16:creationId xmlns:a16="http://schemas.microsoft.com/office/drawing/2014/main" id="{00000000-0008-0000-0500-000020000000}"/>
              </a:ext>
            </a:extLst>
          </xdr:cNvPr>
          <xdr:cNvSpPr txBox="1"/>
        </xdr:nvSpPr>
        <xdr:spPr>
          <a:xfrm>
            <a:off x="759837" y="4292442"/>
            <a:ext cx="1524003" cy="5333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Reports</a:t>
            </a:r>
            <a:endParaRPr lang="en-GB" sz="12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33" name="Graphic 32" descr="Presentation with bar chart RTL">
            <a:extLst>
              <a:ext uri="{FF2B5EF4-FFF2-40B4-BE49-F238E27FC236}">
                <a16:creationId xmlns:a16="http://schemas.microsoft.com/office/drawing/2014/main" id="{00000000-0008-0000-0500-000021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281940" y="4327839"/>
            <a:ext cx="609921" cy="609921"/>
          </a:xfrm>
          <a:prstGeom prst="rect">
            <a:avLst/>
          </a:prstGeom>
        </xdr:spPr>
      </xdr:pic>
    </xdr:grpSp>
    <xdr:clientData/>
  </xdr:twoCellAnchor>
  <xdr:twoCellAnchor>
    <xdr:from>
      <xdr:col>0</xdr:col>
      <xdr:colOff>47626</xdr:colOff>
      <xdr:row>25</xdr:row>
      <xdr:rowOff>171450</xdr:rowOff>
    </xdr:from>
    <xdr:to>
      <xdr:col>2</xdr:col>
      <xdr:colOff>409587</xdr:colOff>
      <xdr:row>28</xdr:row>
      <xdr:rowOff>28575</xdr:rowOff>
    </xdr:to>
    <xdr:grpSp>
      <xdr:nvGrpSpPr>
        <xdr:cNvPr id="34" name="Group 33">
          <a:extLst>
            <a:ext uri="{FF2B5EF4-FFF2-40B4-BE49-F238E27FC236}">
              <a16:creationId xmlns:a16="http://schemas.microsoft.com/office/drawing/2014/main" id="{00000000-0008-0000-0500-000022000000}"/>
            </a:ext>
          </a:extLst>
        </xdr:cNvPr>
        <xdr:cNvGrpSpPr/>
      </xdr:nvGrpSpPr>
      <xdr:grpSpPr>
        <a:xfrm>
          <a:off x="47626" y="5124450"/>
          <a:ext cx="1552586" cy="428625"/>
          <a:chOff x="281940" y="5143500"/>
          <a:chExt cx="2085783" cy="716280"/>
        </a:xfrm>
        <a:solidFill>
          <a:srgbClr val="E84646"/>
        </a:solidFill>
      </xdr:grpSpPr>
      <xdr:sp macro="" textlink="">
        <xdr:nvSpPr>
          <xdr:cNvPr id="35" name="TextBox 34">
            <a:hlinkClick xmlns:r="http://schemas.openxmlformats.org/officeDocument/2006/relationships" r:id="rId13"/>
            <a:extLst>
              <a:ext uri="{FF2B5EF4-FFF2-40B4-BE49-F238E27FC236}">
                <a16:creationId xmlns:a16="http://schemas.microsoft.com/office/drawing/2014/main" id="{00000000-0008-0000-0500-000023000000}"/>
              </a:ext>
            </a:extLst>
          </xdr:cNvPr>
          <xdr:cNvSpPr txBox="1"/>
        </xdr:nvSpPr>
        <xdr:spPr>
          <a:xfrm>
            <a:off x="843711" y="5242560"/>
            <a:ext cx="1524012" cy="533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1">
                <a:solidFill>
                  <a:srgbClr val="FF0000"/>
                </a:solidFill>
                <a:latin typeface="Tahoma" panose="020B0604030504040204" pitchFamily="34" charset="0"/>
                <a:ea typeface="Tahoma" panose="020B0604030504040204" pitchFamily="34" charset="0"/>
                <a:cs typeface="Tahoma" panose="020B0604030504040204" pitchFamily="34" charset="0"/>
              </a:rPr>
              <a:t>Setup</a:t>
            </a:r>
            <a:endParaRPr lang="en-GB" sz="1200" b="1">
              <a:solidFill>
                <a:srgbClr val="FF0000"/>
              </a:solidFill>
              <a:latin typeface="Tahoma" panose="020B0604030504040204" pitchFamily="34" charset="0"/>
              <a:ea typeface="Tahoma" panose="020B0604030504040204" pitchFamily="34" charset="0"/>
              <a:cs typeface="Tahoma" panose="020B0604030504040204" pitchFamily="34" charset="0"/>
            </a:endParaRPr>
          </a:p>
        </xdr:txBody>
      </xdr:sp>
      <xdr:pic>
        <xdr:nvPicPr>
          <xdr:cNvPr id="36" name="Graphic 35" descr="Single gear">
            <a:extLst>
              <a:ext uri="{FF2B5EF4-FFF2-40B4-BE49-F238E27FC236}">
                <a16:creationId xmlns:a16="http://schemas.microsoft.com/office/drawing/2014/main" id="{00000000-0008-0000-0500-000024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 uri="{96DAC541-7B7A-43D3-8B79-37D633B846F1}">
                <asvg:svgBlip xmlns:asvg="http://schemas.microsoft.com/office/drawing/2016/SVG/main" r:embed="rId15"/>
              </a:ext>
            </a:extLst>
          </a:blip>
          <a:stretch>
            <a:fillRect/>
          </a:stretch>
        </xdr:blipFill>
        <xdr:spPr>
          <a:xfrm>
            <a:off x="281940" y="5143500"/>
            <a:ext cx="716280" cy="716280"/>
          </a:xfrm>
          <a:prstGeom prst="rect">
            <a:avLst/>
          </a:prstGeom>
        </xdr:spPr>
      </xdr:pic>
    </xdr:grpSp>
    <xdr:clientData/>
  </xdr:twoCellAnchor>
  <xdr:twoCellAnchor editAs="oneCell">
    <xdr:from>
      <xdr:col>0</xdr:col>
      <xdr:colOff>77229</xdr:colOff>
      <xdr:row>0</xdr:row>
      <xdr:rowOff>0</xdr:rowOff>
    </xdr:from>
    <xdr:to>
      <xdr:col>2</xdr:col>
      <xdr:colOff>390525</xdr:colOff>
      <xdr:row>7</xdr:row>
      <xdr:rowOff>161924</xdr:rowOff>
    </xdr:to>
    <xdr:pic>
      <xdr:nvPicPr>
        <xdr:cNvPr id="37" name="Picture 36">
          <a:extLst>
            <a:ext uri="{FF2B5EF4-FFF2-40B4-BE49-F238E27FC236}">
              <a16:creationId xmlns:a16="http://schemas.microsoft.com/office/drawing/2014/main" id="{00000000-0008-0000-0500-000025000000}"/>
            </a:ext>
          </a:extLst>
        </xdr:cNvPr>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77229" y="0"/>
          <a:ext cx="1532496" cy="1428749"/>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15240</xdr:colOff>
      <xdr:row>0</xdr:row>
      <xdr:rowOff>7620</xdr:rowOff>
    </xdr:from>
    <xdr:to>
      <xdr:col>2</xdr:col>
      <xdr:colOff>434340</xdr:colOff>
      <xdr:row>57</xdr:row>
      <xdr:rowOff>0</xdr:rowOff>
    </xdr:to>
    <xdr:sp macro="" textlink="">
      <xdr:nvSpPr>
        <xdr:cNvPr id="4" name="Rectangle 3">
          <a:extLst>
            <a:ext uri="{FF2B5EF4-FFF2-40B4-BE49-F238E27FC236}">
              <a16:creationId xmlns:a16="http://schemas.microsoft.com/office/drawing/2014/main" id="{00000000-0008-0000-0600-000004000000}"/>
            </a:ext>
          </a:extLst>
        </xdr:cNvPr>
        <xdr:cNvSpPr/>
      </xdr:nvSpPr>
      <xdr:spPr>
        <a:xfrm>
          <a:off x="15240" y="7620"/>
          <a:ext cx="1638300" cy="13829212"/>
        </a:xfrm>
        <a:prstGeom prst="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0</xdr:col>
      <xdr:colOff>15240</xdr:colOff>
      <xdr:row>0</xdr:row>
      <xdr:rowOff>0</xdr:rowOff>
    </xdr:from>
    <xdr:to>
      <xdr:col>13</xdr:col>
      <xdr:colOff>1734729</xdr:colOff>
      <xdr:row>5</xdr:row>
      <xdr:rowOff>44970</xdr:rowOff>
    </xdr:to>
    <xdr:sp macro=""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5240" y="0"/>
          <a:ext cx="17188089" cy="959370"/>
        </a:xfrm>
        <a:prstGeom prst="roundRect">
          <a:avLst/>
        </a:prstGeom>
        <a:solidFill>
          <a:schemeClr val="bg1">
            <a:lumMod val="75000"/>
          </a:schemeClr>
        </a:solidFill>
        <a:ln w="76200">
          <a:solidFill>
            <a:schemeClr val="tx1"/>
          </a:solidFill>
        </a:ln>
        <a:effectLst>
          <a:glow rad="139700">
            <a:schemeClr val="accent6">
              <a:satMod val="175000"/>
              <a:alpha val="40000"/>
            </a:schemeClr>
          </a:glow>
        </a:effectLst>
        <a:scene3d>
          <a:camera prst="orthographicFront">
            <a:rot lat="0" lon="0" rev="0"/>
          </a:camera>
          <a:lightRig rig="glow" dir="t">
            <a:rot lat="0" lon="0" rev="14100000"/>
          </a:lightRig>
        </a:scene3d>
        <a:sp3d prstMaterial="softEdge">
          <a:bevelT w="127000" prst="artDeco"/>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GB" sz="1100"/>
        </a:p>
      </xdr:txBody>
    </xdr:sp>
    <xdr:clientData/>
  </xdr:twoCellAnchor>
  <xdr:twoCellAnchor>
    <xdr:from>
      <xdr:col>4</xdr:col>
      <xdr:colOff>1036320</xdr:colOff>
      <xdr:row>0</xdr:row>
      <xdr:rowOff>152400</xdr:rowOff>
    </xdr:from>
    <xdr:to>
      <xdr:col>12</xdr:col>
      <xdr:colOff>999606</xdr:colOff>
      <xdr:row>3</xdr:row>
      <xdr:rowOff>182176</xdr:rowOff>
    </xdr:to>
    <xdr:sp macro="" textlink="">
      <xdr:nvSpPr>
        <xdr:cNvPr id="5" name="TextBox 4">
          <a:extLst>
            <a:ext uri="{FF2B5EF4-FFF2-40B4-BE49-F238E27FC236}">
              <a16:creationId xmlns:a16="http://schemas.microsoft.com/office/drawing/2014/main" id="{00000000-0008-0000-0600-000005000000}"/>
            </a:ext>
          </a:extLst>
        </xdr:cNvPr>
        <xdr:cNvSpPr txBox="1"/>
      </xdr:nvSpPr>
      <xdr:spPr>
        <a:xfrm>
          <a:off x="4488180" y="152400"/>
          <a:ext cx="12185766" cy="578416"/>
        </a:xfrm>
        <a:prstGeom prst="rect">
          <a:avLst/>
        </a:prstGeom>
        <a:noFill/>
        <a:ln w="9525" cmpd="sng">
          <a:noFill/>
        </a:ln>
        <a:effectLst>
          <a:outerShdw blurRad="50800" dist="38100" dir="8100000" algn="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400">
              <a:latin typeface="Algerian" panose="04020705040A02060702" pitchFamily="82" charset="0"/>
            </a:rPr>
            <a:t>PSI-SUSAS Membership Data Management System</a:t>
          </a:r>
          <a:endParaRPr lang="en-GB" sz="2400">
            <a:latin typeface="Algerian" panose="04020705040A02060702" pitchFamily="82" charset="0"/>
          </a:endParaRPr>
        </a:p>
      </xdr:txBody>
    </xdr:sp>
    <xdr:clientData/>
  </xdr:twoCellAnchor>
  <xdr:twoCellAnchor editAs="oneCell">
    <xdr:from>
      <xdr:col>3</xdr:col>
      <xdr:colOff>525780</xdr:colOff>
      <xdr:row>0</xdr:row>
      <xdr:rowOff>68580</xdr:rowOff>
    </xdr:from>
    <xdr:to>
      <xdr:col>3</xdr:col>
      <xdr:colOff>1370201</xdr:colOff>
      <xdr:row>4</xdr:row>
      <xdr:rowOff>133303</xdr:rowOff>
    </xdr:to>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354580" y="68580"/>
          <a:ext cx="844421" cy="805768"/>
        </a:xfrm>
        <a:prstGeom prst="rect">
          <a:avLst/>
        </a:prstGeom>
        <a:no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1714500</xdr:colOff>
      <xdr:row>0</xdr:row>
      <xdr:rowOff>106680</xdr:rowOff>
    </xdr:from>
    <xdr:to>
      <xdr:col>10</xdr:col>
      <xdr:colOff>2577700</xdr:colOff>
      <xdr:row>4</xdr:row>
      <xdr:rowOff>171403</xdr:rowOff>
    </xdr:to>
    <xdr:pic>
      <xdr:nvPicPr>
        <xdr:cNvPr id="7" name="Picture 6">
          <a:extLst>
            <a:ext uri="{FF2B5EF4-FFF2-40B4-BE49-F238E27FC236}">
              <a16:creationId xmlns:a16="http://schemas.microsoft.com/office/drawing/2014/main" id="{00000000-0008-0000-06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540740" y="106680"/>
          <a:ext cx="844421" cy="805768"/>
        </a:xfrm>
        <a:prstGeom prst="rect">
          <a:avLst/>
        </a:prstGeom>
        <a:no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6</xdr:row>
      <xdr:rowOff>236220</xdr:rowOff>
    </xdr:from>
    <xdr:to>
      <xdr:col>2</xdr:col>
      <xdr:colOff>487681</xdr:colOff>
      <xdr:row>9</xdr:row>
      <xdr:rowOff>179494</xdr:rowOff>
    </xdr:to>
    <xdr:sp macro="" textlink="">
      <xdr:nvSpPr>
        <xdr:cNvPr id="8" name="TextBox 7">
          <a:hlinkClick xmlns:r="http://schemas.openxmlformats.org/officeDocument/2006/relationships" r:id="rId2"/>
          <a:extLst>
            <a:ext uri="{FF2B5EF4-FFF2-40B4-BE49-F238E27FC236}">
              <a16:creationId xmlns:a16="http://schemas.microsoft.com/office/drawing/2014/main" id="{00000000-0008-0000-0600-000008000000}"/>
            </a:ext>
          </a:extLst>
        </xdr:cNvPr>
        <xdr:cNvSpPr txBox="1"/>
      </xdr:nvSpPr>
      <xdr:spPr>
        <a:xfrm>
          <a:off x="0" y="1333500"/>
          <a:ext cx="1706881" cy="568114"/>
        </a:xfrm>
        <a:prstGeom prst="rect">
          <a:avLst/>
        </a:prstGeom>
        <a:gradFill flip="none" rotWithShape="1">
          <a:gsLst>
            <a:gs pos="0">
              <a:schemeClr val="lt1">
                <a:shade val="30000"/>
                <a:satMod val="115000"/>
              </a:schemeClr>
            </a:gs>
            <a:gs pos="50000">
              <a:schemeClr val="lt1">
                <a:shade val="67500"/>
                <a:satMod val="115000"/>
              </a:schemeClr>
            </a:gs>
            <a:gs pos="100000">
              <a:schemeClr val="lt1">
                <a:shade val="100000"/>
                <a:satMod val="115000"/>
              </a:schemeClr>
            </a:gs>
          </a:gsLst>
          <a:path path="circle">
            <a:fillToRect l="100000" t="100000"/>
          </a:path>
          <a:tileRect r="-100000" b="-100000"/>
        </a:gradFill>
        <a:ln w="9525" cmpd="sng">
          <a:solidFill>
            <a:srgbClr val="00B0F0"/>
          </a:solidFill>
        </a:ln>
        <a:effectLst>
          <a:outerShdw blurRad="190500" dist="228600" dir="2700000" algn="ctr">
            <a:srgbClr val="000000">
              <a:alpha val="30000"/>
            </a:srgbClr>
          </a:outerShdw>
        </a:effectLst>
        <a:scene3d>
          <a:camera prst="orthographicFront">
            <a:rot lat="0" lon="0" rev="0"/>
          </a:camera>
          <a:lightRig rig="glow" dir="t">
            <a:rot lat="0" lon="0" rev="4800000"/>
          </a:lightRig>
        </a:scene3d>
        <a:sp3d prstMaterial="matte">
          <a:bevelT w="127000" h="63500"/>
        </a:sp3d>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cap="none" spc="0">
              <a:ln w="0"/>
              <a:solidFill>
                <a:schemeClr val="tx1"/>
              </a:solidFill>
              <a:effectLst>
                <a:glow rad="63500">
                  <a:schemeClr val="accent2">
                    <a:satMod val="175000"/>
                    <a:alpha val="40000"/>
                  </a:schemeClr>
                </a:glow>
                <a:outerShdw blurRad="38100" dist="19050" dir="2700000" algn="tl" rotWithShape="0">
                  <a:schemeClr val="dk1">
                    <a:alpha val="40000"/>
                  </a:schemeClr>
                </a:outerShdw>
              </a:effectLst>
              <a:latin typeface="Arial Black" panose="020B0A04020102020204" pitchFamily="34" charset="0"/>
            </a:rPr>
            <a:t>Data entry form</a:t>
          </a:r>
          <a:endParaRPr lang="en-GB" sz="1400" b="0" cap="none" spc="0">
            <a:ln w="0"/>
            <a:solidFill>
              <a:schemeClr val="tx1"/>
            </a:solidFill>
            <a:effectLst>
              <a:glow rad="63500">
                <a:schemeClr val="accent2">
                  <a:satMod val="175000"/>
                  <a:alpha val="40000"/>
                </a:schemeClr>
              </a:glow>
              <a:outerShdw blurRad="38100" dist="19050" dir="2700000" algn="tl" rotWithShape="0">
                <a:schemeClr val="dk1">
                  <a:alpha val="40000"/>
                </a:schemeClr>
              </a:outerShdw>
            </a:effectLst>
            <a:latin typeface="Arial Black" panose="020B0A04020102020204" pitchFamily="34"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Book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s>
    <sheetDataSet>
      <sheetData sheetId="0">
        <row r="5">
          <cell r="A5">
            <v>1</v>
          </cell>
        </row>
        <row r="6">
          <cell r="A6">
            <v>1</v>
          </cell>
        </row>
        <row r="7">
          <cell r="A7">
            <v>2</v>
          </cell>
        </row>
        <row r="8">
          <cell r="A8">
            <v>3</v>
          </cell>
        </row>
        <row r="9">
          <cell r="A9">
            <v>4</v>
          </cell>
        </row>
        <row r="10">
          <cell r="A10">
            <v>5</v>
          </cell>
        </row>
        <row r="11">
          <cell r="A11">
            <v>6</v>
          </cell>
        </row>
        <row r="12">
          <cell r="A12">
            <v>7</v>
          </cell>
        </row>
        <row r="13">
          <cell r="A13">
            <v>10</v>
          </cell>
        </row>
        <row r="14">
          <cell r="A14">
            <v>13</v>
          </cell>
        </row>
        <row r="15">
          <cell r="A15">
            <v>14</v>
          </cell>
        </row>
        <row r="16">
          <cell r="A16">
            <v>15</v>
          </cell>
        </row>
        <row r="17">
          <cell r="A17">
            <v>17</v>
          </cell>
        </row>
        <row r="18">
          <cell r="A18">
            <v>18</v>
          </cell>
        </row>
        <row r="19">
          <cell r="A19">
            <v>19</v>
          </cell>
        </row>
        <row r="20">
          <cell r="A20">
            <v>20</v>
          </cell>
        </row>
        <row r="21">
          <cell r="A21">
            <v>21</v>
          </cell>
        </row>
        <row r="22">
          <cell r="A22">
            <v>22</v>
          </cell>
        </row>
        <row r="23">
          <cell r="A23">
            <v>23</v>
          </cell>
        </row>
        <row r="24">
          <cell r="A24">
            <v>24</v>
          </cell>
        </row>
        <row r="25">
          <cell r="A25">
            <v>25</v>
          </cell>
        </row>
        <row r="26">
          <cell r="A26">
            <v>26</v>
          </cell>
        </row>
        <row r="27">
          <cell r="A27">
            <v>27</v>
          </cell>
        </row>
        <row r="28">
          <cell r="A28">
            <v>28</v>
          </cell>
        </row>
        <row r="29">
          <cell r="A29">
            <v>29</v>
          </cell>
        </row>
        <row r="30">
          <cell r="A30">
            <v>30</v>
          </cell>
        </row>
        <row r="31">
          <cell r="A31">
            <v>31</v>
          </cell>
        </row>
        <row r="32">
          <cell r="A32">
            <v>32</v>
          </cell>
        </row>
        <row r="33">
          <cell r="A33">
            <v>33</v>
          </cell>
        </row>
        <row r="34">
          <cell r="A34">
            <v>34</v>
          </cell>
        </row>
        <row r="35">
          <cell r="A35">
            <v>36</v>
          </cell>
        </row>
        <row r="36">
          <cell r="A36">
            <v>37</v>
          </cell>
        </row>
        <row r="37">
          <cell r="A37">
            <v>38</v>
          </cell>
        </row>
        <row r="38">
          <cell r="A38">
            <v>39</v>
          </cell>
        </row>
        <row r="39">
          <cell r="A39">
            <v>40</v>
          </cell>
        </row>
        <row r="40">
          <cell r="A40">
            <v>41</v>
          </cell>
        </row>
        <row r="41">
          <cell r="A41">
            <v>42</v>
          </cell>
        </row>
        <row r="42">
          <cell r="A42">
            <v>43</v>
          </cell>
        </row>
        <row r="43">
          <cell r="A43">
            <v>44</v>
          </cell>
        </row>
        <row r="44">
          <cell r="A44">
            <v>45</v>
          </cell>
        </row>
        <row r="45">
          <cell r="A45">
            <v>46</v>
          </cell>
        </row>
        <row r="46">
          <cell r="A46">
            <v>47</v>
          </cell>
        </row>
        <row r="47">
          <cell r="A47">
            <v>48</v>
          </cell>
        </row>
        <row r="48">
          <cell r="A48">
            <v>49</v>
          </cell>
        </row>
        <row r="49">
          <cell r="A49">
            <v>50</v>
          </cell>
        </row>
        <row r="50">
          <cell r="A50">
            <v>51</v>
          </cell>
        </row>
        <row r="51">
          <cell r="A51">
            <v>52</v>
          </cell>
        </row>
        <row r="52">
          <cell r="A52">
            <v>53</v>
          </cell>
        </row>
        <row r="53">
          <cell r="A53">
            <v>54</v>
          </cell>
        </row>
        <row r="54">
          <cell r="A54">
            <v>55</v>
          </cell>
        </row>
        <row r="55">
          <cell r="A55">
            <v>56</v>
          </cell>
        </row>
        <row r="56">
          <cell r="A56">
            <v>57</v>
          </cell>
        </row>
      </sheetData>
      <sheetData sheetId="1"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GICAP" refreshedDate="45723.948888888888" createdVersion="6" refreshedVersion="6" minRefreshableVersion="3" recordCount="58" xr:uid="{AA497FC8-8901-4617-B155-A04B429B4E57}">
  <cacheSource type="worksheet">
    <worksheetSource name="Table1"/>
  </cacheSource>
  <cacheFields count="22">
    <cacheField name="Serial Number" numFmtId="0">
      <sharedItems containsMixedTypes="1" containsNumber="1" containsInteger="1" minValue="0" maxValue="232323"/>
    </cacheField>
    <cacheField name="member first name" numFmtId="0">
      <sharedItems containsMixedTypes="1" containsNumber="1" containsInteger="1" minValue="0" maxValue="0"/>
    </cacheField>
    <cacheField name="Member Last Name" numFmtId="0">
      <sharedItems containsMixedTypes="1" containsNumber="1" containsInteger="1" minValue="0" maxValue="0"/>
    </cacheField>
    <cacheField name="member other names" numFmtId="0">
      <sharedItems containsBlank="1" containsMixedTypes="1" containsNumber="1" containsInteger="1" minValue="0" maxValue="0"/>
    </cacheField>
    <cacheField name="sex" numFmtId="0">
      <sharedItems containsMixedTypes="1" containsNumber="1" containsInteger="1" minValue="0" maxValue="0" count="3">
        <s v="Male"/>
        <s v="Female"/>
        <n v="0" u="1"/>
      </sharedItems>
    </cacheField>
    <cacheField name="Age" numFmtId="0">
      <sharedItems containsMixedTypes="1" containsNumber="1" containsInteger="1" minValue="0" maxValue="0" count="3">
        <s v="20-25"/>
        <s v="35-40"/>
        <n v="0" u="1"/>
      </sharedItems>
    </cacheField>
    <cacheField name="Marital Status" numFmtId="0">
      <sharedItems containsMixedTypes="1" containsNumber="1" containsInteger="1" minValue="0" maxValue="0"/>
    </cacheField>
    <cacheField name="Educational Level" numFmtId="0">
      <sharedItems containsMixedTypes="1" containsNumber="1" containsInteger="1" minValue="0" maxValue="0" count="11">
        <s v="University"/>
        <s v="None"/>
        <s v="Other"/>
        <s v="Bsc"/>
        <s v="Phd"/>
        <s v="Msc"/>
        <s v="A2"/>
        <s v="A1"/>
        <s v="D1"/>
        <s v="B2"/>
        <n v="0" u="1"/>
      </sharedItems>
    </cacheField>
    <cacheField name="contact number" numFmtId="0">
      <sharedItems containsSemiMixedTypes="0" containsString="0" containsNumber="1" containsInteger="1" minValue="0" maxValue="233594056041"/>
    </cacheField>
    <cacheField name="Email Address" numFmtId="0">
      <sharedItems containsMixedTypes="1" containsNumber="1" containsInteger="1" minValue="0" maxValue="0"/>
    </cacheField>
    <cacheField name="Current Address" numFmtId="0">
      <sharedItems containsMixedTypes="1" containsNumber="1" containsInteger="1" minValue="0" maxValue="0"/>
    </cacheField>
    <cacheField name="country of origion" numFmtId="0">
      <sharedItems containsMixedTypes="1" containsNumber="1" containsInteger="1" minValue="0" maxValue="0" count="8">
        <s v="Agadez"/>
        <s v="Diffa"/>
        <s v="Dosso"/>
        <s v="Maradi"/>
        <s v="Tahoua"/>
        <s v="Tillaberi"/>
        <s v="Zinder"/>
        <n v="0" u="1"/>
      </sharedItems>
    </cacheField>
    <cacheField name="social security number" numFmtId="0">
      <sharedItems containsMixedTypes="1" containsNumber="1" containsInteger="1" minValue="0" maxValue="34232423232323"/>
    </cacheField>
    <cacheField name="member children count" numFmtId="1">
      <sharedItems containsSemiMixedTypes="0" containsString="0" containsNumber="1" minValue="-1.1454545454545499" maxValue="8"/>
    </cacheField>
    <cacheField name="employer" numFmtId="0">
      <sharedItems containsMixedTypes="1" containsNumber="1" containsInteger="1" minValue="0" maxValue="0"/>
    </cacheField>
    <cacheField name="employment type" numFmtId="0">
      <sharedItems containsMixedTypes="1" containsNumber="1" containsInteger="1" minValue="0" maxValue="0" count="7">
        <s v="Permanent"/>
        <s v="Contract"/>
        <s v="Casual"/>
        <s v="fonctionnaire"/>
        <s v="contractuelle"/>
        <s v="en attente"/>
        <n v="0" u="1"/>
      </sharedItems>
    </cacheField>
    <cacheField name="date of employment" numFmtId="0">
      <sharedItems containsSemiMixedTypes="0" containsDate="1" containsString="0" containsMixedTypes="1" minDate="1899-12-30T00:00:00" maxDate="2025-02-03T00:00:00"/>
    </cacheField>
    <cacheField name="place of work" numFmtId="0">
      <sharedItems containsMixedTypes="1" containsNumber="1" containsInteger="1" minValue="0" maxValue="0"/>
    </cacheField>
    <cacheField name="department" numFmtId="0">
      <sharedItems containsMixedTypes="1" containsNumber="1" containsInteger="1" minValue="0" maxValue="0"/>
    </cacheField>
    <cacheField name="Membership ID Number" numFmtId="0">
      <sharedItems containsMixedTypes="1" containsNumber="1" containsInteger="1" minValue="0" maxValue="343434"/>
    </cacheField>
    <cacheField name="membership date" numFmtId="0">
      <sharedItems containsDate="1" containsMixedTypes="1" minDate="1899-12-30T00:00:00" maxDate="1900-01-03T06:51:04"/>
    </cacheField>
    <cacheField name="Membership Position" numFmtId="0">
      <sharedItems containsMixedTypes="1" containsNumber="1" containsInteger="1" minValue="0" maxValue="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8">
  <r>
    <n v="1"/>
    <s v="testing"/>
    <s v="testing"/>
    <s v="testing"/>
    <x v="0"/>
    <x v="0"/>
    <s v="Single"/>
    <x v="0"/>
    <n v="233594056041"/>
    <s v="joelaboagye123@gmail.com"/>
    <s v="testing"/>
    <x v="0"/>
    <s v="testing"/>
    <n v="2"/>
    <s v="testing"/>
    <x v="0"/>
    <d v="2025-02-02T00:00:00"/>
    <s v="testing"/>
    <s v="testing"/>
    <n v="5"/>
    <s v="29/9/2021"/>
    <s v="General Secretary"/>
  </r>
  <r>
    <n v="0"/>
    <n v="0"/>
    <n v="0"/>
    <n v="0"/>
    <x v="0"/>
    <x v="1"/>
    <n v="0"/>
    <x v="0"/>
    <n v="0"/>
    <n v="0"/>
    <n v="0"/>
    <x v="1"/>
    <n v="0"/>
    <n v="0"/>
    <n v="0"/>
    <x v="0"/>
    <d v="1899-12-30T00:00:00"/>
    <n v="0"/>
    <n v="0"/>
    <n v="0"/>
    <d v="1899-12-30T00:00:00"/>
    <n v="0"/>
  </r>
  <r>
    <s v="testing"/>
    <s v="testing"/>
    <s v="testing"/>
    <s v="testing"/>
    <x v="0"/>
    <x v="0"/>
    <s v="Married"/>
    <x v="0"/>
    <n v="594056000"/>
    <s v="joelaboagye123@gmail.com"/>
    <s v="ucc"/>
    <x v="1"/>
    <s v="55455d56d"/>
    <n v="2"/>
    <s v="ucc"/>
    <x v="0"/>
    <d v="2000-01-01T00:00:00"/>
    <s v="ucc"/>
    <s v="accounting"/>
    <s v="df5666"/>
    <d v="2000-01-01T00:00:00"/>
    <s v="Vice chairman"/>
  </r>
  <r>
    <n v="232323"/>
    <s v="Sharifatu"/>
    <s v="Morro"/>
    <n v="0"/>
    <x v="1"/>
    <x v="0"/>
    <s v="Married"/>
    <x v="0"/>
    <n v="99755999"/>
    <s v="tomorrow@gmail.com"/>
    <s v="p.o.bos 924"/>
    <x v="1"/>
    <s v="38e37e78e6374634"/>
    <n v="1"/>
    <s v="ucc"/>
    <x v="1"/>
    <n v="41815"/>
    <s v="bank"/>
    <s v="human resourse"/>
    <s v="ddfkhdjfhjdhf"/>
    <s v="29/02/2022"/>
    <s v="Chairman"/>
  </r>
  <r>
    <n v="1232"/>
    <s v="fcgbh"/>
    <s v="fghcv"/>
    <s v="fcghv"/>
    <x v="1"/>
    <x v="0"/>
    <s v="Single"/>
    <x v="1"/>
    <n v="12324354"/>
    <s v="aemail.com"/>
    <s v="fghj"/>
    <x v="1"/>
    <n v="2064215432"/>
    <n v="8"/>
    <s v="bjnkm,."/>
    <x v="2"/>
    <n v="37299"/>
    <s v="kl;"/>
    <s v="kl"/>
    <n v="123"/>
    <n v="38395"/>
    <s v="Deputy General Secretary"/>
  </r>
  <r>
    <n v="2245"/>
    <s v="james"/>
    <s v="amoah"/>
    <n v="0"/>
    <x v="0"/>
    <x v="0"/>
    <s v="other"/>
    <x v="2"/>
    <n v="99755999"/>
    <s v="jamoah1@gmail.com"/>
    <s v="kumasi,ghana"/>
    <x v="1"/>
    <n v="221478"/>
    <n v="6"/>
    <s v="tobinco"/>
    <x v="0"/>
    <n v="42111"/>
    <s v="accra"/>
    <s v="human resource"/>
    <s v="c32343434"/>
    <n v="37319"/>
    <s v="Chairman"/>
  </r>
  <r>
    <n v="1"/>
    <s v="joel"/>
    <s v="aboagye"/>
    <s v="fiifi"/>
    <x v="0"/>
    <x v="0"/>
    <s v="Single"/>
    <x v="0"/>
    <n v="99755999"/>
    <s v="joelaboagye123@gmail.com"/>
    <s v="ucc"/>
    <x v="1"/>
    <n v="34232423232323"/>
    <n v="4"/>
    <s v="ucc"/>
    <x v="0"/>
    <n v="45658"/>
    <s v="ucc"/>
    <s v="ucc"/>
    <n v="343434"/>
    <n v="45658"/>
    <s v="President"/>
  </r>
  <r>
    <n v="1"/>
    <s v="testing"/>
    <s v="testing"/>
    <s v="testing"/>
    <x v="0"/>
    <x v="0"/>
    <s v="Single"/>
    <x v="0"/>
    <n v="233594056041"/>
    <s v="joelaboagye123@gmail.com"/>
    <s v="testing"/>
    <x v="0"/>
    <s v="testing"/>
    <n v="2"/>
    <s v="testing"/>
    <x v="0"/>
    <d v="2025-02-02T00:00:00"/>
    <s v="testing"/>
    <s v="testing"/>
    <n v="5"/>
    <s v="29/9/2021"/>
    <s v="General Secretary"/>
  </r>
  <r>
    <n v="2"/>
    <s v="Ahmed"/>
    <s v="Abdelwahed"/>
    <s v="Ahmed Abdelwahed"/>
    <x v="0"/>
    <x v="0"/>
    <s v="Single"/>
    <x v="3"/>
    <n v="1000047704"/>
    <s v="eng.ahmedabdelwahed@"/>
    <s v="3 kaher st, alexandria"/>
    <x v="1"/>
    <n v="43371695"/>
    <n v="0"/>
    <s v="Bibliotheca Alexandrina "/>
    <x v="1"/>
    <d v="2025-02-02T00:00:00"/>
    <s v="Chatby"/>
    <s v="ICT"/>
    <n v="4"/>
    <s v="29/9/2021"/>
    <s v="Vice President"/>
  </r>
  <r>
    <n v="3"/>
    <s v="Mandy"/>
    <s v="Taha"/>
    <s v="Mandy Taha"/>
    <x v="1"/>
    <x v="0"/>
    <s v="Single"/>
    <x v="4"/>
    <n v="1222717884"/>
    <s v="eng_mandytaha@yahoo.com"/>
    <s v="Somouha, Alexandria"/>
    <x v="2"/>
    <s v="50413106"/>
    <n v="0"/>
    <s v="Bibliotheca Alexandrina "/>
    <x v="1"/>
    <d v="2002-10-01T00:00:00"/>
    <s v="Chatby"/>
    <s v="Engineeing"/>
    <n v="27"/>
    <s v="29/9/2021"/>
    <s v="Member"/>
  </r>
  <r>
    <n v="4"/>
    <s v="Dahlia"/>
    <s v="Fetiha"/>
    <s v="Dahlia Fetiha"/>
    <x v="1"/>
    <x v="0"/>
    <s v="Single"/>
    <x v="5"/>
    <n v="1001375120"/>
    <s v="Dahlia.fetiha90@gmail.com"/>
    <s v="San stefano, Alexandria"/>
    <x v="3"/>
    <n v="41583486"/>
    <n v="3"/>
    <s v="Bibliotheca Alexandrina "/>
    <x v="1"/>
    <d v="2016-01-11T00:00:00"/>
    <s v="Chatby"/>
    <s v="Culture Outreach"/>
    <n v="8"/>
    <s v="29/9/2021"/>
    <s v="General Secretary"/>
  </r>
  <r>
    <n v="5"/>
    <s v="Wegdan"/>
    <s v="Hussien"/>
    <s v="Wegdan Hussien"/>
    <x v="1"/>
    <x v="0"/>
    <s v="Single"/>
    <x v="3"/>
    <n v="1001833810"/>
    <s v="Wegdanhusseing@gmail.com"/>
    <s v="kafr abdo,Alexandria"/>
    <x v="4"/>
    <s v="51532802"/>
    <n v="2.2000000000000002"/>
    <s v="Bibliotheca Alexandrina "/>
    <x v="1"/>
    <d v="2002-10-01T00:00:00"/>
    <s v="Chatby"/>
    <s v="Culture Outreach"/>
    <n v="5"/>
    <s v="29/9/2021"/>
    <s v="Member"/>
  </r>
  <r>
    <n v="6"/>
    <s v="Ibrahim"/>
    <s v="Wageih"/>
    <s v="Ibrahim Wageih"/>
    <x v="0"/>
    <x v="0"/>
    <s v="Married"/>
    <x v="3"/>
    <n v="1000178423"/>
    <s v="Ibrahimwageih@gmail.com"/>
    <s v="Hadara, Alexandria"/>
    <x v="5"/>
    <n v="51067879"/>
    <n v="2.1272727272727301"/>
    <s v="Bibliotheca Alexandrina "/>
    <x v="1"/>
    <d v="2003-01-04T00:00:00"/>
    <s v="Chatby"/>
    <s v="Librarian "/>
    <n v="44"/>
    <s v="29/9/2021"/>
    <s v="Assistant  treasurer"/>
  </r>
  <r>
    <n v="7"/>
    <s v="Sherif"/>
    <s v="Elmasry"/>
    <s v="Sherif Elmasry"/>
    <x v="0"/>
    <x v="0"/>
    <s v="Married "/>
    <x v="4"/>
    <n v="1002224649"/>
    <s v="sherif.ma.masry@gmail.com"/>
    <s v="Sidi beshr, alexandria"/>
    <x v="6"/>
    <s v="51780601"/>
    <n v="2.0545454545454498"/>
    <s v="Bibliotheca Alexandrina "/>
    <x v="1"/>
    <d v="2002-10-01T00:00:00"/>
    <s v="Chatby"/>
    <s v="ICT"/>
    <n v="3"/>
    <s v="29/9/2021"/>
    <s v="Presedent"/>
  </r>
  <r>
    <n v="10"/>
    <s v="Aboubacar"/>
    <s v="Nagondja"/>
    <s v="Boubé"/>
    <x v="0"/>
    <x v="0"/>
    <s v="marié"/>
    <x v="6"/>
    <n v="99755999"/>
    <s v="boubeflex@yahoo.fr"/>
    <s v="Niamey"/>
    <x v="4"/>
    <s v="112184/W"/>
    <n v="1.9818181818181799"/>
    <s v="MFP/T/E"/>
    <x v="3"/>
    <d v="2002-10-01T00:00:00"/>
    <s v="HNN"/>
    <s v="Engineeing"/>
    <n v="3"/>
    <s v="29/9/2021"/>
    <s v="SG A2"/>
  </r>
  <r>
    <n v="13"/>
    <s v="Sakou "/>
    <s v="Golkoye"/>
    <s v="Oumarou"/>
    <x v="0"/>
    <x v="0"/>
    <s v="celibataire"/>
    <x v="6"/>
    <n v="96384993"/>
    <s v="joelaboagye123@gmail.com"/>
    <s v="Niamey"/>
    <x v="5"/>
    <s v="158180/N"/>
    <n v="1.9090909090909101"/>
    <s v="MFP/T/E"/>
    <x v="3"/>
    <d v="2002-10-01T00:00:00"/>
    <s v="CHR"/>
    <s v="Culture Outreach"/>
    <n v="2"/>
    <s v="29/9/2021"/>
    <s v="information A1"/>
  </r>
  <r>
    <n v="14"/>
    <s v="Issa "/>
    <s v="Yacouba"/>
    <s v="Gazobi"/>
    <x v="0"/>
    <x v="0"/>
    <s v="marié"/>
    <x v="6"/>
    <n v="96882550"/>
    <s v="eng.ahmedabdelwahed@"/>
    <s v="Niamey"/>
    <x v="6"/>
    <s v="158210/C"/>
    <n v="1.83636363636364"/>
    <s v="MFP/T/E"/>
    <x v="3"/>
    <d v="2002-10-01T00:00:00"/>
    <s v="HABDN"/>
    <s v="Culture Outreach"/>
    <n v="3"/>
    <s v="29/9/2021"/>
    <s v="Mutualiste A1"/>
  </r>
  <r>
    <n v="15"/>
    <s v="Rachida"/>
    <s v="Salifou "/>
    <s v="Naroua"/>
    <x v="1"/>
    <x v="0"/>
    <s v="marié"/>
    <x v="6"/>
    <n v="98412271"/>
    <s v="eng_mandytaha@yahoo.com"/>
    <s v="Niamey"/>
    <x v="4"/>
    <s v="160434/T"/>
    <n v="1.7636363636363701"/>
    <s v="MFP/T/E"/>
    <x v="3"/>
    <d v="2020-01-09T00:00:00"/>
    <s v="HNN"/>
    <s v="Librarian "/>
    <n v="4"/>
    <s v="29/9/2021"/>
    <s v="Femme travailleuse A1"/>
  </r>
  <r>
    <n v="17"/>
    <s v="Nafissatou"/>
    <s v="Hadou"/>
    <m/>
    <x v="1"/>
    <x v="0"/>
    <s v="marié"/>
    <x v="6"/>
    <n v="96000602"/>
    <s v="Dahlia.fetiha90@gmail.com"/>
    <s v="Tahoua"/>
    <x v="5"/>
    <s v="160254/N"/>
    <n v="1.69090909090909"/>
    <s v="MFP/T/E"/>
    <x v="3"/>
    <d v="2020-01-09T00:00:00"/>
    <s v="CSME/Tahoua"/>
    <s v="ICT"/>
    <n v="5"/>
    <s v="29/9/2021"/>
    <s v="Femme travailleuse BER/TH"/>
  </r>
  <r>
    <n v="18"/>
    <s v="Oumarou "/>
    <s v="Aouessou"/>
    <s v="Abdourahamane"/>
    <x v="0"/>
    <x v="0"/>
    <s v="marié"/>
    <x v="6"/>
    <n v="98806660"/>
    <s v="Wegdanhusseing@gmail.com"/>
    <s v="Niamey"/>
    <x v="6"/>
    <s v="158194/V"/>
    <n v="1.6181818181818199"/>
    <s v="MFP/T/E"/>
    <x v="3"/>
    <d v="2020-01-09T00:00:00"/>
    <s v="CHR"/>
    <s v="Engineeing"/>
    <n v="5"/>
    <s v="29/9/2021"/>
    <s v="promotion des jeunes"/>
  </r>
  <r>
    <n v="19"/>
    <s v="Maman Sani"/>
    <s v="illiassou"/>
    <m/>
    <x v="0"/>
    <x v="0"/>
    <s v="marié"/>
    <x v="6"/>
    <n v="98806660"/>
    <s v="Ibrahimwageih@gmail.com"/>
    <s v="Niamey"/>
    <x v="4"/>
    <s v="R20"/>
    <n v="1.5454545454545501"/>
    <s v="MFP/T/E"/>
    <x v="3"/>
    <d v="2020-01-09T00:00:00"/>
    <s v="CHR"/>
    <s v="Culture Outreach"/>
    <n v="2"/>
    <s v="29/9/2021"/>
    <s v="conflit et negociation"/>
  </r>
  <r>
    <n v="20"/>
    <s v="Maman"/>
    <s v="Sani"/>
    <s v="Magagi"/>
    <x v="0"/>
    <x v="0"/>
    <s v="marié"/>
    <x v="7"/>
    <n v="90010170"/>
    <s v="sherif.ma.masry@gmail.com"/>
    <s v="Zinder"/>
    <x v="5"/>
    <s v="66527/R"/>
    <n v="1.47272727272727"/>
    <s v="MFP/T/E"/>
    <x v="3"/>
    <d v="2004-01-10T00:00:00"/>
    <s v="HNZ"/>
    <s v="Culture Outreach"/>
    <n v="2"/>
    <s v="29/9/2021"/>
    <s v="SG BER/Zinder"/>
  </r>
  <r>
    <n v="21"/>
    <s v="Hamsatou"/>
    <s v="Soumana"/>
    <s v="Seydou"/>
    <x v="1"/>
    <x v="0"/>
    <s v="marié"/>
    <x v="6"/>
    <n v="91738401"/>
    <s v="boubeflex@yahoo.fr"/>
    <s v="Tahoua"/>
    <x v="6"/>
    <s v="160603/U"/>
    <n v="1.4"/>
    <s v="MFP/T/E"/>
    <x v="3"/>
    <d v="2020-09-01T00:00:00"/>
    <s v="CSME/Tahoua"/>
    <s v="Librarian "/>
    <n v="3"/>
    <s v="29/9/2021"/>
    <s v="millitante"/>
  </r>
  <r>
    <n v="22"/>
    <s v="Maimouna"/>
    <s v="Sani"/>
    <m/>
    <x v="1"/>
    <x v="0"/>
    <s v="marié"/>
    <x v="6"/>
    <n v="99316323"/>
    <s v="joelaboagye123@gmail.com"/>
    <s v="Tahoua"/>
    <x v="4"/>
    <s v="103133/A"/>
    <n v="1.32727272727273"/>
    <s v="MFP/T/E"/>
    <x v="3"/>
    <d v="2011-01-11T00:00:00"/>
    <s v="CSME/Tahoua"/>
    <s v="ICT"/>
    <n v="3"/>
    <s v="29/9/2021"/>
    <s v="Section CSME/tahoua"/>
  </r>
  <r>
    <n v="23"/>
    <s v="Mme Oumarou"/>
    <s v="Fati"/>
    <s v="Saibou Dodo"/>
    <x v="1"/>
    <x v="0"/>
    <s v="marié"/>
    <x v="8"/>
    <n v="96896006"/>
    <s v="eng.ahmedabdelwahed@"/>
    <s v="Tahoua"/>
    <x v="5"/>
    <s v="101408/V"/>
    <n v="1.25454545454546"/>
    <s v="MFP/T/E"/>
    <x v="3"/>
    <d v="2011-07-01T00:00:00"/>
    <s v="CSME/Tahoua"/>
    <s v="Engineeing"/>
    <n v="2"/>
    <s v="29/9/2021"/>
    <s v="Section CSME/tahoua"/>
  </r>
  <r>
    <n v="24"/>
    <s v="Mahamane"/>
    <s v="Maaouiya"/>
    <s v="Hachimou"/>
    <x v="0"/>
    <x v="0"/>
    <s v="marié"/>
    <x v="9"/>
    <n v="97682031"/>
    <s v="eng_mandytaha@yahoo.com"/>
    <s v="Agadez"/>
    <x v="6"/>
    <s v="158233/R"/>
    <n v="1.1818181818181801"/>
    <s v="MFP/T/E"/>
    <x v="3"/>
    <d v="2011-01-07T00:00:00"/>
    <s v="CSME/Tahoua"/>
    <s v="Culture Outreach"/>
    <n v="3"/>
    <s v="29/9/2021"/>
    <s v="millitant"/>
  </r>
  <r>
    <n v="25"/>
    <s v="Rahila"/>
    <s v="Rabiou"/>
    <s v="Garba"/>
    <x v="1"/>
    <x v="0"/>
    <s v="celibataire"/>
    <x v="6"/>
    <n v="94021149"/>
    <s v="Dahlia.fetiha90@gmail.com"/>
    <s v="Agadez"/>
    <x v="6"/>
    <s v="contractuelle"/>
    <n v="1.10909090909091"/>
    <s v="MSP/P/AS"/>
    <x v="4"/>
    <d v="2011-01-07T00:00:00"/>
    <s v="Agadez"/>
    <s v="Culture Outreach"/>
    <n v="3"/>
    <s v="29/9/2021"/>
    <s v="millitante"/>
  </r>
  <r>
    <n v="26"/>
    <s v="Issoufou "/>
    <s v="Abdou"/>
    <s v="Maman Sofianou"/>
    <x v="0"/>
    <x v="0"/>
    <s v="celibataire"/>
    <x v="6"/>
    <n v="92342978"/>
    <s v="Wegdanhusseing@gmail.com"/>
    <s v="Agadez"/>
    <x v="4"/>
    <s v="contractuelle"/>
    <n v="1.0363636363636399"/>
    <s v="MSP/P/AS"/>
    <x v="4"/>
    <d v="2020-01-07T00:00:00"/>
    <s v="Agadez"/>
    <s v="Librarian "/>
    <n v="2"/>
    <s v="29/9/2021"/>
    <s v="millitante"/>
  </r>
  <r>
    <n v="27"/>
    <s v="Elhadji Hassane"/>
    <s v="Abdoul Razak"/>
    <m/>
    <x v="0"/>
    <x v="0"/>
    <s v="marié"/>
    <x v="6"/>
    <n v="96218656"/>
    <s v="Ibrahimwageih@gmail.com"/>
    <s v="Agadez"/>
    <x v="5"/>
    <s v="160455/Y"/>
    <n v="0.96363636363635796"/>
    <s v="MFP/T/E"/>
    <x v="3"/>
    <d v="2020-07-01T00:00:00"/>
    <s v="Agadez"/>
    <s v="ICT"/>
    <n v="2"/>
    <s v="29/9/2021"/>
    <s v="millitante"/>
  </r>
  <r>
    <n v="28"/>
    <s v="Aboubacar"/>
    <s v="Oumarou"/>
    <s v="Cheffou"/>
    <x v="0"/>
    <x v="0"/>
    <s v="marié"/>
    <x v="9"/>
    <n v="88314028"/>
    <s v="sherif.ma.masry@gmail.com"/>
    <s v="Agadez"/>
    <x v="6"/>
    <s v="contractuelle"/>
    <n v="0.89090909090908799"/>
    <s v="MSP/P/AS"/>
    <x v="4"/>
    <d v="2020-01-07T00:00:00"/>
    <s v="Agadez"/>
    <s v="Engineeing"/>
    <n v="3"/>
    <s v="29/9/2021"/>
    <s v="millitant"/>
  </r>
  <r>
    <n v="29"/>
    <s v="Abdou"/>
    <s v="Goussa"/>
    <s v="Assane"/>
    <x v="0"/>
    <x v="0"/>
    <s v="marié"/>
    <x v="6"/>
    <n v="96903487"/>
    <s v="boubeflex@yahoo.fr"/>
    <s v="Agadez"/>
    <x v="4"/>
    <s v="160231/F"/>
    <n v="0.81818181818181801"/>
    <s v="MFP/T/E"/>
    <x v="3"/>
    <d v="2020-09-01T00:00:00"/>
    <s v="Agadez"/>
    <s v="Culture Outreach"/>
    <n v="34"/>
    <s v="29/9/2021"/>
    <s v="millitant"/>
  </r>
  <r>
    <n v="30"/>
    <s v="Luc"/>
    <s v="Haltmeyer"/>
    <s v="Fatouma"/>
    <x v="0"/>
    <x v="0"/>
    <s v="celibataire"/>
    <x v="9"/>
    <n v="98008126"/>
    <s v="joelaboagye123@gmail.com"/>
    <s v="Agadez"/>
    <x v="5"/>
    <s v="contractuelle"/>
    <n v="0.74545454545454803"/>
    <s v="MSP/P/AS"/>
    <x v="4"/>
    <d v="2020-01-09T00:00:00"/>
    <s v="Agadez"/>
    <s v="Culture Outreach"/>
    <n v="5"/>
    <s v="29/9/2021"/>
    <s v="millitante"/>
  </r>
  <r>
    <n v="31"/>
    <s v="Maria"/>
    <s v="Nouhou"/>
    <s v="Bakoye"/>
    <x v="1"/>
    <x v="0"/>
    <s v="marié"/>
    <x v="6"/>
    <n v="96700074"/>
    <s v="eng.ahmedabdelwahed@"/>
    <s v="Tillaberi"/>
    <x v="6"/>
    <s v="160407/P"/>
    <n v="0.67272727272726796"/>
    <s v="MFP/T/E"/>
    <x v="3"/>
    <d v="2020-09-01T00:00:00"/>
    <s v="Tillaberi CSME"/>
    <s v="Librarian "/>
    <n v="2"/>
    <s v="29/9/2021"/>
    <s v="section CSME/tillaberi"/>
  </r>
  <r>
    <n v="32"/>
    <s v="Rahinatou"/>
    <s v="Mounkaila"/>
    <s v="Moussa"/>
    <x v="1"/>
    <x v="0"/>
    <s v="marié"/>
    <x v="6"/>
    <n v="94471980"/>
    <s v="eng_mandytaha@yahoo.com"/>
    <s v="Tahoua"/>
    <x v="4"/>
    <s v="712012"/>
    <n v="0.59999999999999798"/>
    <s v="MSP/P/AS"/>
    <x v="4"/>
    <d v="2020-01-09T00:00:00"/>
    <s v="Tahoua CSME"/>
    <s v="ICT"/>
    <n v="3"/>
    <s v="29/9/2021"/>
    <s v="millitante"/>
  </r>
  <r>
    <n v="33"/>
    <s v="Hamani"/>
    <s v="Niandou"/>
    <s v="Mariama"/>
    <x v="1"/>
    <x v="0"/>
    <s v="marié"/>
    <x v="6"/>
    <n v="99462411"/>
    <s v="Dahlia.fetiha90@gmail.com"/>
    <s v="Tahoua"/>
    <x v="5"/>
    <s v="160362/S"/>
    <n v="0.527272727272728"/>
    <s v="MFP/T/E"/>
    <x v="3"/>
    <d v="2020-09-01T00:00:00"/>
    <s v="Tahoua CSME"/>
    <s v="Engineeing"/>
    <n v="4"/>
    <s v="29/9/2021"/>
    <s v="Section CSME/tahoua"/>
  </r>
  <r>
    <n v="34"/>
    <s v="Rahama"/>
    <s v="Tahirou"/>
    <s v="Bado"/>
    <x v="1"/>
    <x v="0"/>
    <s v="celibataire"/>
    <x v="9"/>
    <n v="96644030"/>
    <s v="Wegdanhusseing@gmail.com"/>
    <s v="Agadez"/>
    <x v="4"/>
    <s v="contractuelle"/>
    <n v="0.45454545454544698"/>
    <s v="MSP/P/AS"/>
    <x v="4"/>
    <d v="2020-01-09T00:00:00"/>
    <s v="Agadez"/>
    <s v="Culture Outreach"/>
    <n v="5"/>
    <s v="29/9/2021"/>
    <s v="millitante"/>
  </r>
  <r>
    <n v="36"/>
    <s v="Nahouré"/>
    <s v="Garba"/>
    <m/>
    <x v="0"/>
    <x v="0"/>
    <s v="marié"/>
    <x v="6"/>
    <n v="96891723"/>
    <s v="Ibrahimwageih@gmail.com"/>
    <s v="Niamey"/>
    <x v="4"/>
    <s v="158135/H"/>
    <n v="0.381818181818178"/>
    <s v="MFP/T/E"/>
    <x v="3"/>
    <d v="2020-01-09T00:00:00"/>
    <s v="Niamey"/>
    <s v="Culture Outreach"/>
    <n v="5"/>
    <s v="29/9/2021"/>
    <s v="millitant"/>
  </r>
  <r>
    <n v="37"/>
    <s v="Razak"/>
    <s v="Sani"/>
    <s v="Habou"/>
    <x v="0"/>
    <x v="0"/>
    <s v="marié"/>
    <x v="9"/>
    <n v="96891723"/>
    <s v="sherif.ma.masry@gmail.com"/>
    <s v="Zinder"/>
    <x v="5"/>
    <s v="160849/T"/>
    <n v="0.30909090909090797"/>
    <s v="MFP/T/E"/>
    <x v="3"/>
    <d v="2020-01-09T00:00:00"/>
    <s v="anout"/>
    <s v="Librarian "/>
    <n v="6"/>
    <s v="29/9/2021"/>
    <s v="millitant"/>
  </r>
  <r>
    <n v="38"/>
    <s v="Djibo"/>
    <s v="Moussa"/>
    <m/>
    <x v="0"/>
    <x v="0"/>
    <s v="marié"/>
    <x v="6"/>
    <n v="97550030"/>
    <s v="boubeflex@yahoo.fr"/>
    <s v="Agadez"/>
    <x v="6"/>
    <s v="160189/W"/>
    <n v="0.236363636363638"/>
    <s v="MFP/T/E"/>
    <x v="3"/>
    <d v="2020-09-01T00:00:00"/>
    <s v="Agadez"/>
    <s v="ICT"/>
    <n v="5"/>
    <s v="29/9/2021"/>
    <s v="millitant"/>
  </r>
  <r>
    <n v="39"/>
    <s v="Ounis"/>
    <s v="Gabdoullah"/>
    <m/>
    <x v="0"/>
    <x v="0"/>
    <s v="marié"/>
    <x v="9"/>
    <n v="96060677"/>
    <s v="joelaboagye123@gmail.com"/>
    <s v="Maradi"/>
    <x v="5"/>
    <s v="75402/k"/>
    <n v="0.163636363636358"/>
    <s v="MFP/T/E"/>
    <x v="3"/>
    <d v="2020-01-09T00:00:00"/>
    <s v="Maradi"/>
    <s v="Engineeing"/>
    <n v="4"/>
    <s v="29/9/2021"/>
    <s v="millitant"/>
  </r>
  <r>
    <n v="40"/>
    <s v="Kiari"/>
    <s v="kochi"/>
    <s v="Maina"/>
    <x v="0"/>
    <x v="0"/>
    <s v="marié"/>
    <x v="9"/>
    <n v="88249413"/>
    <s v="eng.ahmedabdelwahed@"/>
    <s v="Agadez"/>
    <x v="6"/>
    <s v="160825/J"/>
    <n v="9.0909090909087706E-2"/>
    <s v="MFP/T/E"/>
    <x v="3"/>
    <d v="2020-09-01T00:00:00"/>
    <s v="Bilma"/>
    <s v="Culture Outreach"/>
    <n v="5"/>
    <s v="29/9/2021"/>
    <s v="millitant"/>
  </r>
  <r>
    <n v="41"/>
    <s v="Zeinabou"/>
    <s v="Adamou"/>
    <s v="Abdoulaye"/>
    <x v="1"/>
    <x v="0"/>
    <s v="marié"/>
    <x v="9"/>
    <n v="92440541"/>
    <s v="eng_mandytaha@yahoo.com"/>
    <s v="Agadez"/>
    <x v="4"/>
    <s v="contractuelle"/>
    <n v="1.8181818181817602E-2"/>
    <s v="MSP/P/AS"/>
    <x v="4"/>
    <d v="2020-01-09T00:00:00"/>
    <s v="tessaoua"/>
    <s v="Culture Outreach"/>
    <n v="4"/>
    <s v="29/9/2021"/>
    <s v="millitante"/>
  </r>
  <r>
    <n v="42"/>
    <s v="Ali"/>
    <s v="Moussa"/>
    <s v="Maman"/>
    <x v="0"/>
    <x v="0"/>
    <s v="marié"/>
    <x v="9"/>
    <n v="99792277"/>
    <s v="Dahlia.fetiha90@gmail.com"/>
    <s v="Maradi"/>
    <x v="5"/>
    <s v="contractuelle"/>
    <n v="-5.4545454545462203E-2"/>
    <s v="MSP/P/AS"/>
    <x v="4"/>
    <d v="2020-01-09T00:00:00"/>
    <s v="tessaoua"/>
    <s v="Librarian "/>
    <n v="6"/>
    <s v="29/9/2021"/>
    <s v="millitant"/>
  </r>
  <r>
    <n v="43"/>
    <s v="Hachimou"/>
    <s v="saley"/>
    <s v="Abdoul Aziz"/>
    <x v="0"/>
    <x v="0"/>
    <s v="marié"/>
    <x v="6"/>
    <n v="99560902"/>
    <s v="Wegdanhusseing@gmail.com"/>
    <s v="Tahoua"/>
    <x v="4"/>
    <s v="111446/M"/>
    <n v="-0.12727272727273201"/>
    <s v="MFP/T/E"/>
    <x v="3"/>
    <d v="2020-01-09T00:00:00"/>
    <s v="Konni"/>
    <s v="ICT"/>
    <n v="6"/>
    <s v="29/9/2021"/>
    <s v="millitant"/>
  </r>
  <r>
    <n v="44"/>
    <s v="Soule"/>
    <s v="Chekaraou"/>
    <s v="Zabeirou"/>
    <x v="0"/>
    <x v="0"/>
    <s v="marié"/>
    <x v="6"/>
    <n v="97863829"/>
    <s v="Ibrahimwageih@gmail.com"/>
    <s v="Agadez"/>
    <x v="5"/>
    <s v="160612/V"/>
    <n v="-0.20000000000000201"/>
    <s v="MFP/T/E"/>
    <x v="3"/>
    <d v="2020-01-09T00:00:00"/>
    <s v="Ifferouane"/>
    <s v="Engineeing"/>
    <n v="5"/>
    <s v="29/9/2021"/>
    <s v="millitant"/>
  </r>
  <r>
    <n v="45"/>
    <s v="Ichakou "/>
    <s v="Ismaila "/>
    <s v="Mamane"/>
    <x v="0"/>
    <x v="0"/>
    <s v="marié"/>
    <x v="6"/>
    <n v="96333862"/>
    <s v="sherif.ma.masry@gmail.com"/>
    <s v="Tahoua"/>
    <x v="6"/>
    <s v="160730/B"/>
    <n v="-0.27272727272727199"/>
    <s v="MFP/T/E"/>
    <x v="3"/>
    <d v="2020-01-09T00:00:00"/>
    <s v="Galmi"/>
    <s v="Culture Outreach"/>
    <n v="4"/>
    <s v="29/9/2021"/>
    <s v="millitant"/>
  </r>
  <r>
    <n v="46"/>
    <s v="Ismael "/>
    <s v="Aboubacar"/>
    <m/>
    <x v="0"/>
    <x v="0"/>
    <s v="marié"/>
    <x v="9"/>
    <n v="88094513"/>
    <s v="boubeflex@yahoo.fr"/>
    <s v="Agadez"/>
    <x v="4"/>
    <s v="112254/U"/>
    <n v="-0.34545454545455201"/>
    <s v="MFP/T/E"/>
    <x v="3"/>
    <d v="2012-09-01T00:00:00"/>
    <s v="Bilma"/>
    <s v="Culture Outreach"/>
    <n v="4"/>
    <s v="29/9/2021"/>
    <s v="millitant"/>
  </r>
  <r>
    <n v="47"/>
    <s v="Nana Fatsouma "/>
    <s v="Tchiari "/>
    <s v="Nasser"/>
    <x v="1"/>
    <x v="0"/>
    <s v="celibataire"/>
    <x v="9"/>
    <n v="96596136"/>
    <s v="joelaboagye123@gmail.com"/>
    <s v="Agadez"/>
    <x v="5"/>
    <s v="112470/C"/>
    <n v="-0.41818181818182198"/>
    <s v="MFP/T/E"/>
    <x v="3"/>
    <d v="2012-01-09T00:00:00"/>
    <s v="Bilma"/>
    <s v="Librarian "/>
    <n v="4"/>
    <s v="29/9/2021"/>
    <s v="millitante"/>
  </r>
  <r>
    <n v="48"/>
    <s v="Moussa "/>
    <s v="Kindo"/>
    <s v="Rahamata"/>
    <x v="1"/>
    <x v="0"/>
    <s v="marié"/>
    <x v="6"/>
    <n v="96298843"/>
    <s v="eng.ahmedabdelwahed@"/>
    <s v="Niamey"/>
    <x v="6"/>
    <s v="103043/Y"/>
    <n v="-0.49090909090909302"/>
    <s v="MFP/T/E"/>
    <x v="3"/>
    <d v="2011-11-01T00:00:00"/>
    <s v="Niamey"/>
    <s v="ICT"/>
    <n v="5"/>
    <s v="29/9/2021"/>
    <s v="militante"/>
  </r>
  <r>
    <n v="49"/>
    <s v="Zeinou"/>
    <s v="Ousseini "/>
    <s v="Abdou Dan Baba "/>
    <x v="1"/>
    <x v="0"/>
    <s v="marié"/>
    <x v="9"/>
    <n v="92632395"/>
    <s v="eng_mandytaha@yahoo.com"/>
    <s v="Agadez"/>
    <x v="4"/>
    <s v="contractuelle"/>
    <n v="-0.56363636363636205"/>
    <s v="MSP/P/AS"/>
    <x v="4"/>
    <d v="2018-01-01T00:00:00"/>
    <s v="Agadez"/>
    <s v="Engineeing"/>
    <n v="6"/>
    <s v="29/9/2021"/>
    <s v="millitante "/>
  </r>
  <r>
    <n v="50"/>
    <s v="Zeinabou "/>
    <s v="Amadou"/>
    <s v="Dagara"/>
    <x v="1"/>
    <x v="0"/>
    <s v="marié"/>
    <x v="6"/>
    <n v="91015310"/>
    <s v="Dahlia.fetiha90@gmail.com"/>
    <s v="Agadez"/>
    <x v="5"/>
    <s v="en attente "/>
    <n v="-0.63636363636364202"/>
    <s v="MFP/T/E"/>
    <x v="3"/>
    <d v="2025-01-01T00:00:00"/>
    <s v="Agadez"/>
    <s v="Culture Outreach"/>
    <n v="6"/>
    <s v="29/9/2021"/>
    <s v="millitante "/>
  </r>
  <r>
    <n v="51"/>
    <s v="Sani "/>
    <s v="Nayessa "/>
    <s v="Assoumana "/>
    <x v="0"/>
    <x v="0"/>
    <s v="marié"/>
    <x v="6"/>
    <n v="97282539"/>
    <s v="Wegdanhusseing@gmail.com"/>
    <s v="Agadez"/>
    <x v="4"/>
    <s v="contractuelle"/>
    <n v="-0.70909090909091199"/>
    <s v="MSP/P/AS"/>
    <x v="4"/>
    <d v="2025-01-01T00:00:00"/>
    <s v="Agadez"/>
    <s v="Culture Outreach"/>
    <n v="3"/>
    <s v="29/9/2021"/>
    <s v="millitant"/>
  </r>
  <r>
    <n v="52"/>
    <s v="Yacouba "/>
    <s v="Mayaki "/>
    <s v="Moctar "/>
    <x v="0"/>
    <x v="0"/>
    <s v="marié"/>
    <x v="6"/>
    <n v="96747969"/>
    <s v="joelaboagye123@gmail.com"/>
    <s v="Agadez"/>
    <x v="5"/>
    <s v="contractuelle"/>
    <n v="-0.78181818181818197"/>
    <s v="MSP/P/AS"/>
    <x v="4"/>
    <d v="2025-01-01T00:00:00"/>
    <s v="Agadez"/>
    <s v="Librarian "/>
    <n v="5"/>
    <s v="29/9/2021"/>
    <s v="millitante"/>
  </r>
  <r>
    <n v="53"/>
    <s v="Abdouramane "/>
    <s v="Tahirou "/>
    <m/>
    <x v="0"/>
    <x v="0"/>
    <s v="marié"/>
    <x v="6"/>
    <n v="98319993"/>
    <s v="eng.ahmedabdelwahed@"/>
    <s v="Tahoua"/>
    <x v="4"/>
    <s v="160223/H"/>
    <n v="-0.85454545454546205"/>
    <s v="MFP/T/E"/>
    <x v="3"/>
    <d v="2025-01-01T00:00:00"/>
    <s v="Illela "/>
    <s v="ICT"/>
    <n v="4"/>
    <s v="29/9/2021"/>
    <s v="millitante"/>
  </r>
  <r>
    <n v="54"/>
    <s v="Morou "/>
    <s v="Gardio"/>
    <s v="Zouweratou "/>
    <x v="1"/>
    <x v="0"/>
    <s v="celibataire"/>
    <x v="6"/>
    <n v="97658327"/>
    <s v="eng_mandytaha@yahoo.com"/>
    <s v="Niamey"/>
    <x v="4"/>
    <s v="en attente "/>
    <n v="-0.92727272727273202"/>
    <s v="MSP/P/AS"/>
    <x v="5"/>
    <d v="2025-01-01T00:00:00"/>
    <s v="Niamey"/>
    <s v="Engineeing"/>
    <n v="3"/>
    <s v="29/9/2021"/>
    <s v="millitante"/>
  </r>
  <r>
    <n v="55"/>
    <s v="Abdoul Aziz "/>
    <s v="Saidou "/>
    <s v="Oumarou"/>
    <x v="0"/>
    <x v="0"/>
    <s v="marié"/>
    <x v="9"/>
    <n v="96291436"/>
    <s v="Dahlia.fetiha90@gmail.com"/>
    <s v="Agadez"/>
    <x v="4"/>
    <s v="160843/L"/>
    <n v="-1"/>
    <s v="MFP/T/E"/>
    <x v="3"/>
    <d v="2020-01-09T00:00:00"/>
    <s v="Agadez"/>
    <s v="Culture Outreach"/>
    <n v="5"/>
    <s v="29/9/2021"/>
    <s v="millitante"/>
  </r>
  <r>
    <n v="56"/>
    <s v="Maman "/>
    <s v="Ousmane"/>
    <s v="Nafissatou"/>
    <x v="1"/>
    <x v="0"/>
    <s v="marié"/>
    <x v="6"/>
    <n v="97523778"/>
    <s v="Wegdanhusseing@gmail.com"/>
    <s v="Niamey"/>
    <x v="5"/>
    <s v="contractuelle"/>
    <n v="-1.0727272727272701"/>
    <s v="MSP/P/AS"/>
    <x v="4"/>
    <d v="2020-01-09T00:00:00"/>
    <s v="Niamey"/>
    <s v="Culture Outreach"/>
    <n v="6"/>
    <s v="29/9/2021"/>
    <s v="millitante"/>
  </r>
  <r>
    <n v="57"/>
    <s v="Hassan "/>
    <s v="Amata"/>
    <m/>
    <x v="1"/>
    <x v="0"/>
    <s v="divorcé"/>
    <x v="8"/>
    <n v="97946048"/>
    <s v="Ibrahimwageih@gmail.com"/>
    <s v="Agadez"/>
    <x v="6"/>
    <s v="10044"/>
    <n v="-1.1454545454545499"/>
    <s v="MSP/P/AS"/>
    <x v="4"/>
    <d v="2020-01-09T00:00:00"/>
    <s v="Agadez"/>
    <s v="Librarian "/>
    <n v="4"/>
    <s v="29/9/2021"/>
    <s v="millitant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54664FD-6C9E-4B3E-B19C-F6E68875AB0B}" name="PivotTable3"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
  <location ref="L15:M18" firstHeaderRow="1" firstDataRow="1" firstDataCol="1"/>
  <pivotFields count="22">
    <pivotField showAll="0"/>
    <pivotField showAll="0"/>
    <pivotField showAll="0"/>
    <pivotField showAll="0"/>
    <pivotField showAll="0"/>
    <pivotField axis="axisRow" dataField="1" showAll="0">
      <items count="4">
        <item m="1" x="2"/>
        <item x="0"/>
        <item x="1"/>
        <item t="default"/>
      </items>
    </pivotField>
    <pivotField showAll="0"/>
    <pivotField showAll="0"/>
    <pivotField showAll="0"/>
    <pivotField showAll="0"/>
    <pivotField showAll="0"/>
    <pivotField showAll="0"/>
    <pivotField showAll="0"/>
    <pivotField numFmtId="1" showAll="0"/>
    <pivotField showAll="0"/>
    <pivotField showAll="0"/>
    <pivotField showAll="0"/>
    <pivotField showAll="0"/>
    <pivotField showAll="0"/>
    <pivotField showAll="0"/>
    <pivotField showAll="0"/>
    <pivotField showAll="0"/>
  </pivotFields>
  <rowFields count="1">
    <field x="5"/>
  </rowFields>
  <rowItems count="3">
    <i>
      <x v="1"/>
    </i>
    <i>
      <x v="2"/>
    </i>
    <i t="grand">
      <x/>
    </i>
  </rowItems>
  <colItems count="1">
    <i/>
  </colItems>
  <dataFields count="1">
    <dataField name="Count of Age" fld="5" subtotal="count" baseField="5" baseItem="0"/>
  </dataFields>
  <chartFormats count="1">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FC9F2B9-B79F-4F9C-A0BF-3C757974A53E}" name="PivotTable2"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I15:J18" firstHeaderRow="1" firstDataRow="1" firstDataCol="1"/>
  <pivotFields count="22">
    <pivotField dataField="1" showAll="0"/>
    <pivotField showAll="0"/>
    <pivotField showAll="0"/>
    <pivotField showAll="0"/>
    <pivotField axis="axisRow" showAll="0">
      <items count="4">
        <item m="1" x="2"/>
        <item x="0"/>
        <item x="1"/>
        <item t="default"/>
      </items>
    </pivotField>
    <pivotField showAll="0"/>
    <pivotField showAll="0"/>
    <pivotField showAll="0"/>
    <pivotField showAll="0"/>
    <pivotField showAll="0"/>
    <pivotField showAll="0"/>
    <pivotField showAll="0"/>
    <pivotField showAll="0"/>
    <pivotField numFmtId="1" showAll="0"/>
    <pivotField showAll="0"/>
    <pivotField showAll="0"/>
    <pivotField showAll="0"/>
    <pivotField showAll="0"/>
    <pivotField showAll="0"/>
    <pivotField showAll="0"/>
    <pivotField showAll="0"/>
    <pivotField showAll="0"/>
  </pivotFields>
  <rowFields count="1">
    <field x="4"/>
  </rowFields>
  <rowItems count="3">
    <i>
      <x v="1"/>
    </i>
    <i>
      <x v="2"/>
    </i>
    <i t="grand">
      <x/>
    </i>
  </rowItems>
  <colItems count="1">
    <i/>
  </colItems>
  <dataFields count="1">
    <dataField name="Count of Serial Number" fld="0" subtotal="count" baseField="0" baseItem="0"/>
  </dataFields>
  <chartFormats count="3">
    <chartFormat chart="2" format="7" series="1">
      <pivotArea type="data" outline="0" fieldPosition="0">
        <references count="1">
          <reference field="4294967294" count="1" selected="0">
            <x v="0"/>
          </reference>
        </references>
      </pivotArea>
    </chartFormat>
    <chartFormat chart="2" format="8">
      <pivotArea type="data" outline="0" fieldPosition="0">
        <references count="2">
          <reference field="4294967294" count="1" selected="0">
            <x v="0"/>
          </reference>
          <reference field="4" count="1" selected="0">
            <x v="1"/>
          </reference>
        </references>
      </pivotArea>
    </chartFormat>
    <chartFormat chart="2" format="9">
      <pivotArea type="data" outline="0" fieldPosition="0">
        <references count="2">
          <reference field="4294967294" count="1" selected="0">
            <x v="0"/>
          </reference>
          <reference field="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85C80739-725A-44B9-B717-9CBC049AA740}" name="PivotTable1"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G15:G16" firstHeaderRow="1" firstDataRow="1" firstDataCol="0"/>
  <pivotFields count="22">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showAll="0"/>
    <pivotField showAll="0"/>
    <pivotField showAll="0"/>
    <pivotField showAll="0"/>
    <pivotField showAll="0"/>
    <pivotField showAll="0"/>
    <pivotField showAll="0"/>
    <pivotField showAll="0"/>
  </pivotFields>
  <rowItems count="1">
    <i/>
  </rowItems>
  <colItems count="1">
    <i/>
  </colItems>
  <dataFields count="1">
    <dataField name="Count of Serial Number" fld="0" subtotal="count" baseField="0" baseItem="8"/>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82E4BDD-0148-4ED9-9880-35E5D18669F0}" name="PivotTable6"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M27:N35" firstHeaderRow="1" firstDataRow="1" firstDataCol="1"/>
  <pivotFields count="22">
    <pivotField dataField="1" showAll="0"/>
    <pivotField showAll="0"/>
    <pivotField showAll="0"/>
    <pivotField showAll="0"/>
    <pivotField showAll="0"/>
    <pivotField showAll="0"/>
    <pivotField showAll="0"/>
    <pivotField showAll="0"/>
    <pivotField showAll="0"/>
    <pivotField showAll="0"/>
    <pivotField showAll="0"/>
    <pivotField axis="axisRow" showAll="0">
      <items count="9">
        <item m="1" x="7"/>
        <item x="0"/>
        <item x="1"/>
        <item x="2"/>
        <item x="3"/>
        <item x="4"/>
        <item x="5"/>
        <item x="6"/>
        <item t="default"/>
      </items>
    </pivotField>
    <pivotField showAll="0"/>
    <pivotField numFmtId="1" showAll="0"/>
    <pivotField showAll="0"/>
    <pivotField showAll="0"/>
    <pivotField showAll="0"/>
    <pivotField showAll="0"/>
    <pivotField showAll="0"/>
    <pivotField showAll="0"/>
    <pivotField showAll="0"/>
    <pivotField showAll="0"/>
  </pivotFields>
  <rowFields count="1">
    <field x="11"/>
  </rowFields>
  <rowItems count="8">
    <i>
      <x v="1"/>
    </i>
    <i>
      <x v="2"/>
    </i>
    <i>
      <x v="3"/>
    </i>
    <i>
      <x v="4"/>
    </i>
    <i>
      <x v="5"/>
    </i>
    <i>
      <x v="6"/>
    </i>
    <i>
      <x v="7"/>
    </i>
    <i t="grand">
      <x/>
    </i>
  </rowItems>
  <colItems count="1">
    <i/>
  </colItems>
  <dataFields count="1">
    <dataField name="Count of Serial Number" fld="0" subtotal="count" baseField="0" baseItem="0"/>
  </dataFields>
  <formats count="1">
    <format dxfId="24">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A7C5D80-2323-44D2-87A0-7D41B266E524}" name="PivotTable5"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J27:K34" firstHeaderRow="1" firstDataRow="1" firstDataCol="1"/>
  <pivotFields count="22">
    <pivotField showAll="0"/>
    <pivotField showAll="0"/>
    <pivotField showAll="0"/>
    <pivotField showAll="0"/>
    <pivotField showAll="0"/>
    <pivotField showAll="0"/>
    <pivotField showAll="0"/>
    <pivotField showAll="0"/>
    <pivotField showAll="0"/>
    <pivotField showAll="0"/>
    <pivotField showAll="0"/>
    <pivotField showAll="0"/>
    <pivotField showAll="0"/>
    <pivotField numFmtId="1" showAll="0"/>
    <pivotField dataField="1" showAll="0"/>
    <pivotField axis="axisRow" showAll="0">
      <items count="8">
        <item m="1" x="6"/>
        <item x="2"/>
        <item x="1"/>
        <item x="4"/>
        <item x="5"/>
        <item x="3"/>
        <item x="0"/>
        <item t="default"/>
      </items>
    </pivotField>
    <pivotField showAll="0"/>
    <pivotField showAll="0"/>
    <pivotField showAll="0"/>
    <pivotField showAll="0"/>
    <pivotField showAll="0"/>
    <pivotField showAll="0"/>
  </pivotFields>
  <rowFields count="1">
    <field x="15"/>
  </rowFields>
  <rowItems count="7">
    <i>
      <x v="1"/>
    </i>
    <i>
      <x v="2"/>
    </i>
    <i>
      <x v="3"/>
    </i>
    <i>
      <x v="4"/>
    </i>
    <i>
      <x v="5"/>
    </i>
    <i>
      <x v="6"/>
    </i>
    <i t="grand">
      <x/>
    </i>
  </rowItems>
  <colItems count="1">
    <i/>
  </colItems>
  <dataFields count="1">
    <dataField name="Count of employer" fld="14" subtotal="count" baseField="0" baseItem="0"/>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92EA245-94BD-4BEA-9851-D44D4BEFEB62}" name="PivotTable4" cacheId="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G27:H38" firstHeaderRow="1" firstDataRow="1" firstDataCol="1"/>
  <pivotFields count="22">
    <pivotField dataField="1" showAll="0"/>
    <pivotField showAll="0"/>
    <pivotField showAll="0"/>
    <pivotField showAll="0"/>
    <pivotField showAll="0"/>
    <pivotField showAll="0"/>
    <pivotField showAll="0"/>
    <pivotField axis="axisRow" showAll="0">
      <items count="12">
        <item m="1" x="10"/>
        <item x="7"/>
        <item x="6"/>
        <item x="9"/>
        <item x="3"/>
        <item x="8"/>
        <item x="5"/>
        <item x="1"/>
        <item x="2"/>
        <item x="4"/>
        <item x="0"/>
        <item t="default"/>
      </items>
    </pivotField>
    <pivotField showAll="0"/>
    <pivotField showAll="0"/>
    <pivotField showAll="0"/>
    <pivotField showAll="0"/>
    <pivotField showAll="0"/>
    <pivotField numFmtId="1" showAll="0"/>
    <pivotField showAll="0"/>
    <pivotField showAll="0"/>
    <pivotField showAll="0"/>
    <pivotField showAll="0"/>
    <pivotField showAll="0"/>
    <pivotField showAll="0"/>
    <pivotField showAll="0"/>
    <pivotField showAll="0"/>
  </pivotFields>
  <rowFields count="1">
    <field x="7"/>
  </rowFields>
  <rowItems count="11">
    <i>
      <x v="1"/>
    </i>
    <i>
      <x v="2"/>
    </i>
    <i>
      <x v="3"/>
    </i>
    <i>
      <x v="4"/>
    </i>
    <i>
      <x v="5"/>
    </i>
    <i>
      <x v="6"/>
    </i>
    <i>
      <x v="7"/>
    </i>
    <i>
      <x v="8"/>
    </i>
    <i>
      <x v="9"/>
    </i>
    <i>
      <x v="10"/>
    </i>
    <i t="grand">
      <x/>
    </i>
  </rowItems>
  <colItems count="1">
    <i/>
  </colItems>
  <dataFields count="1">
    <dataField name="Count of Serial Number" fld="0" subtotal="count" baseField="0" baseItem="0"/>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D2B981EA-B496-4D89-B528-3AFFF0F6956B}" name="Table1" displayName="Table1" ref="D8:Y66" totalsRowShown="0" headerRowDxfId="23" dataDxfId="22">
  <tableColumns count="22">
    <tableColumn id="1" xr3:uid="{C61033B8-95C1-4564-8A58-A5CE4807EDD9}" name="Serial Number" dataDxfId="21"/>
    <tableColumn id="2" xr3:uid="{09061153-66D3-412B-B047-A9B56B95CB73}" name="Member First Name" dataDxfId="20"/>
    <tableColumn id="3" xr3:uid="{FC354E6D-48F8-40B7-996F-8D6C7A76A670}" name="Member Last Name" dataDxfId="19"/>
    <tableColumn id="4" xr3:uid="{C3A36D71-A9AC-4958-A0EA-E088114C71E8}" name="Member Other Names" dataDxfId="18"/>
    <tableColumn id="5" xr3:uid="{E587AD8F-865C-4A8A-B912-FEBC300EE7F6}" name="Sex" dataDxfId="17"/>
    <tableColumn id="6" xr3:uid="{82ED3D5F-D85C-4B82-9B1A-D70312338935}" name="Age" dataDxfId="16"/>
    <tableColumn id="7" xr3:uid="{66791C8D-8FD7-42F5-8A53-C5D35C3C5EEC}" name="Marital Status" dataDxfId="15"/>
    <tableColumn id="8" xr3:uid="{778C5D28-832C-460B-ACDB-47EB1402C096}" name="Educational Level" dataDxfId="14"/>
    <tableColumn id="9" xr3:uid="{1C0683A5-9CE4-423C-8336-5E15D396FD77}" name="Contact Number" dataDxfId="13"/>
    <tableColumn id="10" xr3:uid="{BD061527-C8D4-4AB3-9EC6-F9A8B4036C69}" name="Email Address" dataDxfId="12" dataCellStyle="Hyperlink"/>
    <tableColumn id="11" xr3:uid="{40DE1476-2E15-45A0-AE01-730265BB8214}" name="Current Address" dataDxfId="11"/>
    <tableColumn id="12" xr3:uid="{3D6D57B3-7F47-4880-9AD7-7B481C500680}" name="country of origion" dataDxfId="10"/>
    <tableColumn id="13" xr3:uid="{11CE86D8-812A-4BC1-BC48-F422C34C5CD4}" name="Social Security Number" dataDxfId="9"/>
    <tableColumn id="14" xr3:uid="{A9AD46F6-A11C-4B9A-BE08-32D1552D3591}" name="Member Children Count" dataDxfId="8"/>
    <tableColumn id="15" xr3:uid="{A019E05F-5803-4CA2-8B07-849E0509932D}" name="Employer" dataDxfId="7"/>
    <tableColumn id="16" xr3:uid="{237BF94D-05B2-487B-8E2F-83E31CF15B2A}" name="Employment Type" dataDxfId="6"/>
    <tableColumn id="17" xr3:uid="{55F5ED4F-6257-46FC-85FD-B8318E1725D9}" name="Date Of Employment" dataDxfId="5"/>
    <tableColumn id="18" xr3:uid="{36502127-2768-4E1E-868F-7BECA90D384F}" name="Place Of Work" dataDxfId="4"/>
    <tableColumn id="19" xr3:uid="{9B8257BF-E08B-40EC-AEB5-C17DE0165EAA}" name="Department" dataDxfId="3"/>
    <tableColumn id="20" xr3:uid="{5F74BCA3-02FE-49C3-8CA4-2783F06FD608}" name="Membership ID Number" dataDxfId="2"/>
    <tableColumn id="21" xr3:uid="{DAD7B869-53AD-41FD-A918-B13217699C08}" name="Membership Date" dataDxfId="1"/>
    <tableColumn id="22" xr3:uid="{4E89FCC9-159E-4C9B-81EB-92A1B29C3C23}" name="Membership Posi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7" Type="http://schemas.openxmlformats.org/officeDocument/2006/relationships/drawing" Target="../drawings/drawing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3" Type="http://schemas.openxmlformats.org/officeDocument/2006/relationships/hyperlink" Target="mailto:Ibrahimwageih@gmail.com" TargetMode="External"/><Relationship Id="rId18" Type="http://schemas.openxmlformats.org/officeDocument/2006/relationships/hyperlink" Target="mailto:Wegdanhusseing@gmail.com" TargetMode="External"/><Relationship Id="rId26" Type="http://schemas.openxmlformats.org/officeDocument/2006/relationships/hyperlink" Target="mailto:eng_mandytaha@yahoo.com" TargetMode="External"/><Relationship Id="rId39" Type="http://schemas.openxmlformats.org/officeDocument/2006/relationships/hyperlink" Target="mailto:eng_mandytaha@yahoo.com" TargetMode="External"/><Relationship Id="rId21" Type="http://schemas.openxmlformats.org/officeDocument/2006/relationships/hyperlink" Target="mailto:boubeflex@yahoo.fr" TargetMode="External"/><Relationship Id="rId34" Type="http://schemas.openxmlformats.org/officeDocument/2006/relationships/hyperlink" Target="mailto:Ibrahimwageih@gmail.com" TargetMode="External"/><Relationship Id="rId42" Type="http://schemas.openxmlformats.org/officeDocument/2006/relationships/hyperlink" Target="mailto:Wegdanhusseing@gmail.com" TargetMode="External"/><Relationship Id="rId47" Type="http://schemas.openxmlformats.org/officeDocument/2006/relationships/table" Target="../tables/table1.xml"/><Relationship Id="rId7" Type="http://schemas.openxmlformats.org/officeDocument/2006/relationships/hyperlink" Target="mailto:boubeflex@yahoo.fr" TargetMode="External"/><Relationship Id="rId2" Type="http://schemas.openxmlformats.org/officeDocument/2006/relationships/hyperlink" Target="mailto:sherif.ma.masry@gmail.com" TargetMode="External"/><Relationship Id="rId16" Type="http://schemas.openxmlformats.org/officeDocument/2006/relationships/hyperlink" Target="mailto:sherif.ma.masry@gmail.com" TargetMode="External"/><Relationship Id="rId29" Type="http://schemas.openxmlformats.org/officeDocument/2006/relationships/hyperlink" Target="mailto:eng.ahmedabdelwahed@" TargetMode="External"/><Relationship Id="rId1" Type="http://schemas.openxmlformats.org/officeDocument/2006/relationships/hyperlink" Target="mailto:eng.ahmedabdelwahed@" TargetMode="External"/><Relationship Id="rId6" Type="http://schemas.openxmlformats.org/officeDocument/2006/relationships/hyperlink" Target="mailto:Ibrahimwageih@gmail.com" TargetMode="External"/><Relationship Id="rId11" Type="http://schemas.openxmlformats.org/officeDocument/2006/relationships/hyperlink" Target="mailto:Wegdanhusseing@gmail.com" TargetMode="External"/><Relationship Id="rId24" Type="http://schemas.openxmlformats.org/officeDocument/2006/relationships/hyperlink" Target="mailto:Dahlia.fetiha90@gmail.com" TargetMode="External"/><Relationship Id="rId32" Type="http://schemas.openxmlformats.org/officeDocument/2006/relationships/hyperlink" Target="mailto:Wegdanhusseing@gmail.com" TargetMode="External"/><Relationship Id="rId37" Type="http://schemas.openxmlformats.org/officeDocument/2006/relationships/hyperlink" Target="mailto:Dahlia.fetiha90@gmail.com" TargetMode="External"/><Relationship Id="rId40" Type="http://schemas.openxmlformats.org/officeDocument/2006/relationships/hyperlink" Target="mailto:eng.ahmedabdelwahed@" TargetMode="External"/><Relationship Id="rId45" Type="http://schemas.openxmlformats.org/officeDocument/2006/relationships/printerSettings" Target="../printerSettings/printerSettings4.bin"/><Relationship Id="rId5" Type="http://schemas.openxmlformats.org/officeDocument/2006/relationships/hyperlink" Target="mailto:eng_mandytaha@yahoo.com" TargetMode="External"/><Relationship Id="rId15" Type="http://schemas.openxmlformats.org/officeDocument/2006/relationships/hyperlink" Target="mailto:eng.ahmedabdelwahed@" TargetMode="External"/><Relationship Id="rId23" Type="http://schemas.openxmlformats.org/officeDocument/2006/relationships/hyperlink" Target="mailto:sherif.ma.masry@gmail.com" TargetMode="External"/><Relationship Id="rId28" Type="http://schemas.openxmlformats.org/officeDocument/2006/relationships/hyperlink" Target="mailto:boubeflex@yahoo.fr" TargetMode="External"/><Relationship Id="rId36" Type="http://schemas.openxmlformats.org/officeDocument/2006/relationships/hyperlink" Target="mailto:eng.ahmedabdelwahed@" TargetMode="External"/><Relationship Id="rId10" Type="http://schemas.openxmlformats.org/officeDocument/2006/relationships/hyperlink" Target="mailto:Dahlia.fetiha90@gmail.com" TargetMode="External"/><Relationship Id="rId19" Type="http://schemas.openxmlformats.org/officeDocument/2006/relationships/hyperlink" Target="mailto:eng_mandytaha@yahoo.com" TargetMode="External"/><Relationship Id="rId31" Type="http://schemas.openxmlformats.org/officeDocument/2006/relationships/hyperlink" Target="mailto:Dahlia.fetiha90@gmail.com" TargetMode="External"/><Relationship Id="rId44" Type="http://schemas.openxmlformats.org/officeDocument/2006/relationships/hyperlink" Target="mailto:Ibrahimwageih@gmail.com" TargetMode="External"/><Relationship Id="rId4" Type="http://schemas.openxmlformats.org/officeDocument/2006/relationships/hyperlink" Target="mailto:Wegdanhusseing@gmail.com" TargetMode="External"/><Relationship Id="rId9" Type="http://schemas.openxmlformats.org/officeDocument/2006/relationships/hyperlink" Target="mailto:sherif.ma.masry@gmail.com" TargetMode="External"/><Relationship Id="rId14" Type="http://schemas.openxmlformats.org/officeDocument/2006/relationships/hyperlink" Target="mailto:boubeflex@yahoo.fr" TargetMode="External"/><Relationship Id="rId22" Type="http://schemas.openxmlformats.org/officeDocument/2006/relationships/hyperlink" Target="mailto:eng.ahmedabdelwahed@" TargetMode="External"/><Relationship Id="rId27" Type="http://schemas.openxmlformats.org/officeDocument/2006/relationships/hyperlink" Target="mailto:Ibrahimwageih@gmail.com" TargetMode="External"/><Relationship Id="rId30" Type="http://schemas.openxmlformats.org/officeDocument/2006/relationships/hyperlink" Target="mailto:sherif.ma.masry@gmail.com" TargetMode="External"/><Relationship Id="rId35" Type="http://schemas.openxmlformats.org/officeDocument/2006/relationships/hyperlink" Target="mailto:boubeflex@yahoo.fr" TargetMode="External"/><Relationship Id="rId43" Type="http://schemas.openxmlformats.org/officeDocument/2006/relationships/hyperlink" Target="mailto:eng_mandytaha@yahoo.com" TargetMode="External"/><Relationship Id="rId8" Type="http://schemas.openxmlformats.org/officeDocument/2006/relationships/hyperlink" Target="mailto:eng.ahmedabdelwahed@" TargetMode="External"/><Relationship Id="rId3" Type="http://schemas.openxmlformats.org/officeDocument/2006/relationships/hyperlink" Target="mailto:Dahlia.fetiha90@gmail.com" TargetMode="External"/><Relationship Id="rId12" Type="http://schemas.openxmlformats.org/officeDocument/2006/relationships/hyperlink" Target="mailto:eng_mandytaha@yahoo.com" TargetMode="External"/><Relationship Id="rId17" Type="http://schemas.openxmlformats.org/officeDocument/2006/relationships/hyperlink" Target="mailto:Dahlia.fetiha90@gmail.com" TargetMode="External"/><Relationship Id="rId25" Type="http://schemas.openxmlformats.org/officeDocument/2006/relationships/hyperlink" Target="mailto:Wegdanhusseing@gmail.com" TargetMode="External"/><Relationship Id="rId33" Type="http://schemas.openxmlformats.org/officeDocument/2006/relationships/hyperlink" Target="mailto:eng_mandytaha@yahoo.com" TargetMode="External"/><Relationship Id="rId38" Type="http://schemas.openxmlformats.org/officeDocument/2006/relationships/hyperlink" Target="mailto:Wegdanhusseing@gmail.com" TargetMode="External"/><Relationship Id="rId46" Type="http://schemas.openxmlformats.org/officeDocument/2006/relationships/drawing" Target="../drawings/drawing7.xml"/><Relationship Id="rId20" Type="http://schemas.openxmlformats.org/officeDocument/2006/relationships/hyperlink" Target="mailto:Ibrahimwageih@gmail.com" TargetMode="External"/><Relationship Id="rId41" Type="http://schemas.openxmlformats.org/officeDocument/2006/relationships/hyperlink" Target="mailto:Dahlia.fetiha90@gmail.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5FFF14-611A-46FF-BDD0-3421671A5FD3}">
  <sheetPr codeName="Sheet10"/>
  <dimension ref="A1:D2"/>
  <sheetViews>
    <sheetView workbookViewId="0"/>
  </sheetViews>
  <sheetFormatPr defaultRowHeight="15" x14ac:dyDescent="0.25"/>
  <sheetData>
    <row r="1" spans="1:4" x14ac:dyDescent="0.25">
      <c r="A1" t="s">
        <v>123</v>
      </c>
      <c r="B1" t="s">
        <v>124</v>
      </c>
      <c r="C1" t="s">
        <v>125</v>
      </c>
    </row>
    <row r="2" spans="1:4" x14ac:dyDescent="0.25">
      <c r="A2" t="s">
        <v>126</v>
      </c>
      <c r="B2" t="s">
        <v>420</v>
      </c>
      <c r="C2" t="s">
        <v>127</v>
      </c>
      <c r="D2" t="s">
        <v>419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6EB37-06CD-47A6-97AC-D2BA32E0192E}">
  <sheetPr codeName="Sheet5"/>
  <dimension ref="I9:X10"/>
  <sheetViews>
    <sheetView showGridLines="0" tabSelected="1" zoomScale="80" zoomScaleNormal="80" workbookViewId="0">
      <selection activeCell="AA8" sqref="AA8"/>
    </sheetView>
  </sheetViews>
  <sheetFormatPr defaultColWidth="8.85546875" defaultRowHeight="15" x14ac:dyDescent="0.25"/>
  <cols>
    <col min="1" max="8" width="8.85546875" style="37"/>
    <col min="9" max="9" width="8.7109375" style="37" customWidth="1"/>
    <col min="10" max="12" width="8.85546875" style="37"/>
    <col min="13" max="13" width="8.7109375" style="37" customWidth="1"/>
    <col min="14" max="16" width="8.85546875" style="37"/>
    <col min="17" max="17" width="10.28515625" style="37" customWidth="1"/>
    <col min="18" max="21" width="8.85546875" style="37"/>
    <col min="22" max="22" width="3.28515625" style="37" customWidth="1"/>
    <col min="23" max="16384" width="8.85546875" style="37"/>
  </cols>
  <sheetData>
    <row r="9" spans="9:24" x14ac:dyDescent="0.25">
      <c r="I9" s="47" t="s">
        <v>0</v>
      </c>
      <c r="J9" s="48"/>
      <c r="K9" s="48"/>
      <c r="L9" s="48"/>
      <c r="M9" s="48"/>
      <c r="N9" s="48"/>
      <c r="O9" s="48"/>
      <c r="P9" s="48"/>
      <c r="Q9" s="48"/>
      <c r="R9" s="48"/>
      <c r="S9" s="48"/>
      <c r="T9" s="48"/>
      <c r="U9" s="48"/>
      <c r="V9" s="48"/>
      <c r="W9" s="48"/>
      <c r="X9" s="48"/>
    </row>
    <row r="10" spans="9:24" x14ac:dyDescent="0.25">
      <c r="I10" s="49"/>
      <c r="J10" s="49"/>
      <c r="K10" s="49"/>
      <c r="L10" s="49"/>
      <c r="M10" s="49"/>
      <c r="N10" s="49"/>
      <c r="O10" s="49"/>
      <c r="P10" s="49"/>
      <c r="Q10" s="49"/>
      <c r="R10" s="49"/>
      <c r="S10" s="49"/>
      <c r="T10" s="49"/>
      <c r="U10" s="49"/>
      <c r="V10" s="49"/>
      <c r="W10" s="49"/>
      <c r="X10" s="49"/>
    </row>
  </sheetData>
  <sheetProtection selectLockedCells="1" selectUnlockedCells="1"/>
  <mergeCells count="1">
    <mergeCell ref="I9:X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LanguageSelector">
              <controlPr defaultSize="0" autoFill="0" autoPict="0" macro="[0]!ChangeUILanguage">
                <anchor moveWithCells="1">
                  <from>
                    <xdr:col>24</xdr:col>
                    <xdr:colOff>133350</xdr:colOff>
                    <xdr:row>6</xdr:row>
                    <xdr:rowOff>133350</xdr:rowOff>
                  </from>
                  <to>
                    <xdr:col>26</xdr:col>
                    <xdr:colOff>171450</xdr:colOff>
                    <xdr:row>8</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02A6D-2B22-422D-8354-85F2A81595AD}">
  <sheetPr codeName="Sheet4"/>
  <dimension ref="E7:AF270"/>
  <sheetViews>
    <sheetView showGridLines="0" topLeftCell="H10" zoomScale="80" zoomScaleNormal="80" workbookViewId="0">
      <selection activeCell="I38" sqref="I38"/>
    </sheetView>
  </sheetViews>
  <sheetFormatPr defaultColWidth="8.7109375" defaultRowHeight="15" x14ac:dyDescent="0.25"/>
  <cols>
    <col min="1" max="4" width="8.7109375" style="5"/>
    <col min="5" max="5" width="9.28515625" style="5" customWidth="1"/>
    <col min="6" max="7" width="8.7109375" style="5"/>
    <col min="8" max="8" width="13.7109375" style="5" customWidth="1"/>
    <col min="9" max="10" width="8.7109375" style="5"/>
    <col min="11" max="11" width="12.7109375" style="5" bestFit="1" customWidth="1"/>
    <col min="12" max="13" width="8.7109375" style="5"/>
    <col min="14" max="14" width="13.7109375" style="5" customWidth="1"/>
    <col min="15" max="18" width="8.7109375" style="5"/>
    <col min="19" max="19" width="14.42578125" style="5" customWidth="1"/>
    <col min="20" max="25" width="8.7109375" style="5"/>
    <col min="26" max="26" width="14.85546875" style="5" customWidth="1"/>
    <col min="27" max="16384" width="8.7109375" style="5"/>
  </cols>
  <sheetData>
    <row r="7" spans="5:32" ht="14.65" customHeight="1" x14ac:dyDescent="0.3">
      <c r="F7" s="8"/>
      <c r="G7" s="8"/>
      <c r="H7" s="8"/>
      <c r="I7" s="8"/>
      <c r="J7" s="8"/>
      <c r="K7" s="8"/>
    </row>
    <row r="8" spans="5:32" ht="14.65" customHeight="1" x14ac:dyDescent="0.3">
      <c r="F8" s="8"/>
      <c r="G8" s="8"/>
      <c r="H8" s="8"/>
      <c r="I8" s="8"/>
      <c r="J8" s="8"/>
      <c r="K8" s="8"/>
    </row>
    <row r="10" spans="5:32" ht="18" x14ac:dyDescent="0.25">
      <c r="E10" s="54" t="s">
        <v>128</v>
      </c>
      <c r="F10" s="54"/>
      <c r="G10" s="54"/>
      <c r="H10" s="54"/>
      <c r="I10" s="54"/>
      <c r="J10" s="16"/>
      <c r="K10" s="55" t="s">
        <v>129</v>
      </c>
      <c r="L10" s="55"/>
      <c r="M10" s="55"/>
      <c r="N10" s="55"/>
      <c r="O10" s="55"/>
      <c r="P10" s="16"/>
      <c r="Q10" s="55" t="s">
        <v>130</v>
      </c>
      <c r="R10" s="55"/>
      <c r="S10" s="55"/>
      <c r="T10" s="55"/>
      <c r="U10" s="55"/>
      <c r="V10" s="16"/>
      <c r="W10" s="55" t="s">
        <v>414</v>
      </c>
      <c r="X10" s="55"/>
      <c r="Y10" s="55"/>
      <c r="Z10" s="55"/>
      <c r="AA10" s="55"/>
      <c r="AB10" s="15"/>
      <c r="AD10" s="15"/>
      <c r="AE10" s="15"/>
      <c r="AF10" s="15"/>
    </row>
    <row r="11" spans="5:32" x14ac:dyDescent="0.25">
      <c r="E11" s="41"/>
      <c r="F11" s="41"/>
      <c r="G11" s="41"/>
      <c r="H11" s="41"/>
      <c r="I11" s="41"/>
      <c r="J11" s="15"/>
      <c r="K11" s="41"/>
      <c r="L11" s="41"/>
      <c r="M11" s="41"/>
      <c r="N11" s="41"/>
      <c r="O11" s="41"/>
      <c r="P11" s="15"/>
      <c r="Q11" s="41"/>
      <c r="R11" s="41"/>
      <c r="S11" s="41"/>
      <c r="T11" s="41"/>
      <c r="U11" s="41"/>
      <c r="V11" s="15"/>
      <c r="W11" s="41"/>
      <c r="X11" s="41"/>
      <c r="Y11" s="41"/>
      <c r="Z11" s="41"/>
      <c r="AA11" s="41"/>
      <c r="AB11" s="15"/>
      <c r="AD11" s="15"/>
      <c r="AE11" s="15"/>
      <c r="AF11" s="15"/>
    </row>
    <row r="12" spans="5:32" x14ac:dyDescent="0.25">
      <c r="E12" s="41"/>
      <c r="F12" s="41"/>
      <c r="G12" s="41"/>
      <c r="H12" s="41"/>
      <c r="I12" s="41"/>
      <c r="J12" s="15"/>
      <c r="K12" s="41"/>
      <c r="L12" s="41"/>
      <c r="M12" s="41"/>
      <c r="N12" s="41"/>
      <c r="O12" s="41"/>
      <c r="P12" s="15"/>
      <c r="Q12" s="41"/>
      <c r="R12" s="41"/>
      <c r="S12" s="41"/>
      <c r="T12" s="41"/>
      <c r="U12" s="41"/>
      <c r="V12" s="15"/>
      <c r="W12" s="41"/>
      <c r="X12" s="41"/>
      <c r="Y12" s="41"/>
      <c r="Z12" s="41"/>
      <c r="AA12" s="41"/>
      <c r="AB12" s="15"/>
      <c r="AD12" s="15"/>
      <c r="AE12" s="15"/>
      <c r="AF12" s="15"/>
    </row>
    <row r="13" spans="5:32" ht="18.75" thickBot="1" x14ac:dyDescent="0.3">
      <c r="E13" s="42" t="s">
        <v>15</v>
      </c>
      <c r="F13" s="43"/>
      <c r="G13" s="41"/>
      <c r="H13" s="41"/>
      <c r="I13" s="41"/>
      <c r="J13" s="15"/>
      <c r="K13" s="42" t="s">
        <v>150</v>
      </c>
      <c r="L13" s="41"/>
      <c r="M13" s="41"/>
      <c r="N13" s="41"/>
      <c r="O13" s="41"/>
      <c r="P13" s="15"/>
      <c r="Q13" s="42" t="s">
        <v>131</v>
      </c>
      <c r="R13" s="41"/>
      <c r="S13" s="41"/>
      <c r="T13" s="41"/>
      <c r="U13" s="41"/>
      <c r="V13" s="15"/>
      <c r="W13" s="42" t="s">
        <v>22</v>
      </c>
      <c r="X13" s="41"/>
      <c r="Y13" s="41"/>
      <c r="Z13" s="41"/>
      <c r="AA13" s="41"/>
      <c r="AB13" s="15"/>
      <c r="AD13" s="15"/>
      <c r="AE13" s="15"/>
      <c r="AF13" s="15"/>
    </row>
    <row r="14" spans="5:32" ht="18.75" thickBot="1" x14ac:dyDescent="0.3">
      <c r="E14" s="42"/>
      <c r="F14" s="50"/>
      <c r="G14" s="51"/>
      <c r="H14" s="52"/>
      <c r="I14" s="41"/>
      <c r="J14" s="15"/>
      <c r="K14" s="42"/>
      <c r="L14" s="50"/>
      <c r="M14" s="51"/>
      <c r="N14" s="52"/>
      <c r="O14" s="41"/>
      <c r="P14" s="15"/>
      <c r="Q14" s="42"/>
      <c r="R14" s="50"/>
      <c r="S14" s="51"/>
      <c r="T14" s="52"/>
      <c r="U14" s="41"/>
      <c r="V14" s="15"/>
      <c r="W14" s="42"/>
      <c r="X14" s="50"/>
      <c r="Y14" s="51"/>
      <c r="Z14" s="52"/>
      <c r="AA14" s="41"/>
      <c r="AB14" s="15"/>
      <c r="AD14" s="15"/>
      <c r="AE14" s="15"/>
      <c r="AF14" s="15"/>
    </row>
    <row r="15" spans="5:32" ht="18" x14ac:dyDescent="0.25">
      <c r="E15" s="42"/>
      <c r="F15" s="43"/>
      <c r="G15" s="41"/>
      <c r="H15" s="41"/>
      <c r="I15" s="41"/>
      <c r="J15" s="15"/>
      <c r="K15" s="42"/>
      <c r="L15" s="41"/>
      <c r="M15" s="41"/>
      <c r="N15" s="41"/>
      <c r="O15" s="41"/>
      <c r="P15" s="15"/>
      <c r="Q15" s="42"/>
      <c r="R15" s="41"/>
      <c r="S15" s="41"/>
      <c r="T15" s="41"/>
      <c r="U15" s="41"/>
      <c r="V15" s="15"/>
      <c r="W15" s="42"/>
      <c r="X15" s="41"/>
      <c r="Y15" s="41"/>
      <c r="Z15" s="41"/>
      <c r="AA15" s="41"/>
      <c r="AB15" s="15"/>
      <c r="AD15" s="15"/>
      <c r="AE15" s="15"/>
      <c r="AF15" s="15"/>
    </row>
    <row r="16" spans="5:32" ht="18.75" thickBot="1" x14ac:dyDescent="0.3">
      <c r="E16" s="42" t="s">
        <v>147</v>
      </c>
      <c r="F16" s="43"/>
      <c r="G16" s="41"/>
      <c r="H16" s="41"/>
      <c r="I16" s="41"/>
      <c r="J16" s="15"/>
      <c r="K16" s="42" t="s">
        <v>16</v>
      </c>
      <c r="L16" s="41"/>
      <c r="M16" s="41"/>
      <c r="N16" s="41"/>
      <c r="O16" s="41"/>
      <c r="P16" s="15"/>
      <c r="Q16" s="42" t="s">
        <v>132</v>
      </c>
      <c r="R16" s="41"/>
      <c r="S16" s="41"/>
      <c r="T16" s="41"/>
      <c r="U16" s="41"/>
      <c r="V16" s="15"/>
      <c r="W16" s="42" t="s">
        <v>156</v>
      </c>
      <c r="X16" s="41"/>
      <c r="Y16" s="41"/>
      <c r="Z16" s="41"/>
      <c r="AA16" s="41"/>
      <c r="AB16" s="15"/>
      <c r="AD16" s="15"/>
      <c r="AE16" s="15"/>
      <c r="AF16" s="15"/>
    </row>
    <row r="17" spans="5:32" ht="18.75" thickBot="1" x14ac:dyDescent="0.3">
      <c r="E17" s="42"/>
      <c r="F17" s="50"/>
      <c r="G17" s="51"/>
      <c r="H17" s="52"/>
      <c r="I17" s="41"/>
      <c r="J17" s="15"/>
      <c r="K17" s="42"/>
      <c r="L17" s="56"/>
      <c r="M17" s="51"/>
      <c r="N17" s="52"/>
      <c r="O17" s="41"/>
      <c r="P17" s="15"/>
      <c r="Q17" s="42"/>
      <c r="R17" s="50"/>
      <c r="S17" s="51"/>
      <c r="T17" s="52"/>
      <c r="U17" s="41"/>
      <c r="V17" s="15"/>
      <c r="W17" s="42"/>
      <c r="X17" s="53"/>
      <c r="Y17" s="51"/>
      <c r="Z17" s="52"/>
      <c r="AA17" s="41"/>
      <c r="AB17" s="15"/>
      <c r="AD17" s="15"/>
      <c r="AE17" s="15"/>
      <c r="AF17" s="15"/>
    </row>
    <row r="18" spans="5:32" ht="18" x14ac:dyDescent="0.25">
      <c r="E18" s="42"/>
      <c r="F18" s="43"/>
      <c r="G18" s="41"/>
      <c r="H18" s="41"/>
      <c r="I18" s="41"/>
      <c r="J18" s="15"/>
      <c r="K18" s="42"/>
      <c r="L18" s="41"/>
      <c r="M18" s="41"/>
      <c r="N18" s="41"/>
      <c r="O18" s="41"/>
      <c r="P18" s="15"/>
      <c r="Q18" s="42"/>
      <c r="R18" s="41"/>
      <c r="S18" s="41"/>
      <c r="T18" s="41"/>
      <c r="U18" s="41"/>
      <c r="V18" s="15"/>
      <c r="W18" s="42"/>
      <c r="X18" s="41"/>
      <c r="Y18" s="41"/>
      <c r="Z18" s="41"/>
      <c r="AA18" s="41"/>
      <c r="AB18" s="15"/>
      <c r="AD18" s="15"/>
      <c r="AE18" s="15"/>
      <c r="AF18" s="15"/>
    </row>
    <row r="19" spans="5:32" ht="18.75" thickBot="1" x14ac:dyDescent="0.3">
      <c r="E19" s="42" t="s">
        <v>21</v>
      </c>
      <c r="F19" s="43"/>
      <c r="G19" s="41"/>
      <c r="H19" s="41"/>
      <c r="I19" s="41"/>
      <c r="J19" s="15"/>
      <c r="K19" s="42" t="s">
        <v>17</v>
      </c>
      <c r="L19" s="41"/>
      <c r="M19" s="41"/>
      <c r="N19" s="41"/>
      <c r="O19" s="41"/>
      <c r="P19" s="15"/>
      <c r="Q19" s="42" t="s">
        <v>154</v>
      </c>
      <c r="R19" s="41"/>
      <c r="S19" s="41"/>
      <c r="T19" s="41"/>
      <c r="U19" s="41"/>
      <c r="V19" s="15"/>
      <c r="W19" s="42" t="s">
        <v>20</v>
      </c>
      <c r="X19" s="41"/>
      <c r="Y19" s="41"/>
      <c r="Z19" s="41"/>
      <c r="AA19" s="41"/>
      <c r="AB19" s="15"/>
      <c r="AD19" s="15"/>
      <c r="AE19" s="15"/>
      <c r="AF19" s="15"/>
    </row>
    <row r="20" spans="5:32" ht="18.75" thickBot="1" x14ac:dyDescent="0.3">
      <c r="E20" s="42"/>
      <c r="F20" s="50"/>
      <c r="G20" s="51"/>
      <c r="H20" s="52"/>
      <c r="I20" s="41"/>
      <c r="J20" s="15"/>
      <c r="K20" s="42"/>
      <c r="L20" s="50"/>
      <c r="M20" s="51"/>
      <c r="N20" s="52"/>
      <c r="O20" s="41"/>
      <c r="P20" s="15"/>
      <c r="Q20" s="42"/>
      <c r="R20" s="53"/>
      <c r="S20" s="51"/>
      <c r="T20" s="52"/>
      <c r="U20" s="41"/>
      <c r="V20" s="15"/>
      <c r="W20" s="41"/>
      <c r="X20" s="50"/>
      <c r="Y20" s="51"/>
      <c r="Z20" s="52"/>
      <c r="AA20" s="41"/>
      <c r="AB20" s="15"/>
      <c r="AD20" s="15"/>
      <c r="AE20" s="15"/>
      <c r="AF20" s="15"/>
    </row>
    <row r="21" spans="5:32" ht="18" x14ac:dyDescent="0.25">
      <c r="E21" s="42"/>
      <c r="F21" s="43"/>
      <c r="G21" s="41"/>
      <c r="H21" s="41"/>
      <c r="I21" s="41"/>
      <c r="J21" s="15"/>
      <c r="K21" s="42"/>
      <c r="L21" s="41"/>
      <c r="M21" s="41"/>
      <c r="N21" s="41"/>
      <c r="O21" s="41"/>
      <c r="P21" s="15"/>
      <c r="Q21" s="42"/>
      <c r="R21" s="41"/>
      <c r="S21" s="41"/>
      <c r="T21" s="41"/>
      <c r="U21" s="41"/>
      <c r="V21" s="15"/>
      <c r="W21" s="41"/>
      <c r="X21" s="41"/>
      <c r="Y21" s="41"/>
      <c r="Z21" s="41"/>
      <c r="AA21" s="41"/>
      <c r="AB21" s="15"/>
      <c r="AD21" s="15"/>
      <c r="AE21" s="15"/>
      <c r="AF21" s="15"/>
    </row>
    <row r="22" spans="5:32" ht="18.75" thickBot="1" x14ac:dyDescent="0.3">
      <c r="E22" s="42" t="s">
        <v>148</v>
      </c>
      <c r="F22" s="43"/>
      <c r="G22" s="41"/>
      <c r="H22" s="41"/>
      <c r="I22" s="41"/>
      <c r="J22" s="15"/>
      <c r="K22" s="42" t="s">
        <v>151</v>
      </c>
      <c r="L22" s="41"/>
      <c r="M22" s="41"/>
      <c r="N22" s="41"/>
      <c r="O22" s="41"/>
      <c r="P22" s="15"/>
      <c r="Q22" s="42" t="s">
        <v>155</v>
      </c>
      <c r="R22" s="41"/>
      <c r="S22" s="41"/>
      <c r="T22" s="41"/>
      <c r="U22" s="41"/>
      <c r="V22" s="15"/>
      <c r="W22" s="41"/>
      <c r="X22" s="41"/>
      <c r="Y22" s="41"/>
      <c r="Z22" s="41"/>
      <c r="AA22" s="41"/>
      <c r="AB22" s="15"/>
      <c r="AD22" s="15"/>
      <c r="AE22" s="15"/>
      <c r="AF22" s="15"/>
    </row>
    <row r="23" spans="5:32" ht="18.75" thickBot="1" x14ac:dyDescent="0.3">
      <c r="E23" s="42"/>
      <c r="F23" s="50"/>
      <c r="G23" s="51"/>
      <c r="H23" s="52"/>
      <c r="I23" s="41"/>
      <c r="J23" s="15"/>
      <c r="K23" s="42"/>
      <c r="L23" s="50"/>
      <c r="M23" s="51"/>
      <c r="N23" s="52"/>
      <c r="O23" s="41"/>
      <c r="P23" s="15"/>
      <c r="Q23" s="42"/>
      <c r="R23" s="50"/>
      <c r="S23" s="51"/>
      <c r="T23" s="52"/>
      <c r="U23" s="41"/>
      <c r="V23" s="15"/>
      <c r="W23" s="41"/>
      <c r="X23" s="41"/>
      <c r="Y23" s="41"/>
      <c r="Z23" s="41"/>
      <c r="AA23" s="41"/>
      <c r="AB23" s="15"/>
      <c r="AD23" s="15"/>
      <c r="AE23" s="15"/>
      <c r="AF23" s="15"/>
    </row>
    <row r="24" spans="5:32" ht="18" x14ac:dyDescent="0.25">
      <c r="E24" s="42"/>
      <c r="F24" s="43"/>
      <c r="G24" s="41"/>
      <c r="H24" s="41"/>
      <c r="I24" s="41"/>
      <c r="J24" s="15"/>
      <c r="K24" s="42"/>
      <c r="L24" s="41"/>
      <c r="M24" s="41"/>
      <c r="N24" s="41"/>
      <c r="O24" s="41"/>
      <c r="P24" s="15"/>
      <c r="Q24" s="42"/>
      <c r="R24" s="41"/>
      <c r="S24" s="41"/>
      <c r="T24" s="41"/>
      <c r="U24" s="41"/>
      <c r="V24" s="15"/>
      <c r="W24" s="41"/>
      <c r="X24" s="41"/>
      <c r="Y24" s="41"/>
      <c r="Z24" s="41"/>
      <c r="AA24" s="41"/>
      <c r="AB24" s="15"/>
      <c r="AD24" s="15"/>
      <c r="AE24" s="15"/>
      <c r="AF24" s="15"/>
    </row>
    <row r="25" spans="5:32" ht="18.75" thickBot="1" x14ac:dyDescent="0.3">
      <c r="E25" s="42" t="s">
        <v>149</v>
      </c>
      <c r="F25" s="43"/>
      <c r="G25" s="41"/>
      <c r="H25" s="41"/>
      <c r="I25" s="41"/>
      <c r="J25" s="15"/>
      <c r="K25" s="42" t="s">
        <v>152</v>
      </c>
      <c r="L25" s="41"/>
      <c r="M25" s="41"/>
      <c r="N25" s="41"/>
      <c r="O25" s="41"/>
      <c r="P25" s="15"/>
      <c r="Q25" s="42" t="s">
        <v>133</v>
      </c>
      <c r="R25" s="41"/>
      <c r="S25" s="41"/>
      <c r="T25" s="41"/>
      <c r="U25" s="41"/>
      <c r="V25" s="15"/>
      <c r="W25" s="41"/>
      <c r="X25" s="41"/>
      <c r="Y25" s="41"/>
      <c r="Z25" s="41"/>
      <c r="AA25" s="41"/>
      <c r="AB25" s="15"/>
      <c r="AD25" s="15"/>
      <c r="AE25" s="15"/>
      <c r="AF25" s="15"/>
    </row>
    <row r="26" spans="5:32" ht="18.75" thickBot="1" x14ac:dyDescent="0.3">
      <c r="E26" s="42"/>
      <c r="F26" s="50"/>
      <c r="G26" s="51"/>
      <c r="H26" s="52"/>
      <c r="I26" s="41"/>
      <c r="J26" s="15"/>
      <c r="K26" s="42"/>
      <c r="L26" s="50"/>
      <c r="M26" s="51"/>
      <c r="N26" s="52"/>
      <c r="O26" s="41"/>
      <c r="P26" s="15"/>
      <c r="Q26" s="41"/>
      <c r="R26" s="50"/>
      <c r="S26" s="51"/>
      <c r="T26" s="52"/>
      <c r="U26" s="41"/>
      <c r="V26" s="15"/>
      <c r="W26" s="41"/>
      <c r="X26" s="41"/>
      <c r="Y26" s="41"/>
      <c r="Z26" s="41"/>
      <c r="AA26" s="41"/>
      <c r="AB26" s="15"/>
      <c r="AD26" s="15"/>
      <c r="AE26" s="15"/>
      <c r="AF26" s="15"/>
    </row>
    <row r="27" spans="5:32" ht="18" x14ac:dyDescent="0.25">
      <c r="E27" s="42"/>
      <c r="F27" s="43"/>
      <c r="G27" s="41"/>
      <c r="H27" s="41"/>
      <c r="I27" s="41"/>
      <c r="J27" s="15"/>
      <c r="K27" s="42"/>
      <c r="L27" s="41"/>
      <c r="M27" s="41"/>
      <c r="N27" s="41"/>
      <c r="O27" s="41"/>
      <c r="P27" s="15"/>
      <c r="Q27" s="41"/>
      <c r="R27" s="41"/>
      <c r="S27" s="41"/>
      <c r="T27" s="41"/>
      <c r="U27" s="41"/>
      <c r="V27" s="15"/>
      <c r="W27" s="41"/>
      <c r="X27" s="41"/>
      <c r="Y27" s="41"/>
      <c r="Z27" s="41"/>
      <c r="AA27" s="41"/>
      <c r="AB27" s="15"/>
      <c r="AD27" s="15"/>
      <c r="AE27" s="15"/>
      <c r="AF27" s="15"/>
    </row>
    <row r="28" spans="5:32" ht="18.75" thickBot="1" x14ac:dyDescent="0.3">
      <c r="E28" s="42" t="s">
        <v>157</v>
      </c>
      <c r="F28" s="43"/>
      <c r="G28" s="41"/>
      <c r="H28" s="41"/>
      <c r="I28" s="41"/>
      <c r="J28" s="15"/>
      <c r="K28" s="42" t="s">
        <v>153</v>
      </c>
      <c r="L28" s="41"/>
      <c r="M28" s="41"/>
      <c r="N28" s="41"/>
      <c r="O28" s="41"/>
      <c r="P28" s="15"/>
      <c r="Q28" s="41"/>
      <c r="R28" s="41"/>
      <c r="S28" s="41"/>
      <c r="T28" s="41"/>
      <c r="U28" s="41"/>
      <c r="V28" s="15"/>
      <c r="W28" s="41"/>
      <c r="X28" s="41"/>
      <c r="Y28" s="41"/>
      <c r="Z28" s="41"/>
      <c r="AA28" s="41"/>
      <c r="AB28" s="15"/>
      <c r="AC28" s="15"/>
      <c r="AD28" s="15"/>
      <c r="AE28" s="15"/>
      <c r="AF28" s="15"/>
    </row>
    <row r="29" spans="5:32" ht="18.75" thickBot="1" x14ac:dyDescent="0.3">
      <c r="E29" s="42"/>
      <c r="F29" s="50"/>
      <c r="G29" s="51"/>
      <c r="H29" s="52"/>
      <c r="I29" s="41"/>
      <c r="J29" s="15"/>
      <c r="K29" s="44"/>
      <c r="L29" s="50"/>
      <c r="M29" s="51"/>
      <c r="N29" s="52"/>
      <c r="O29" s="41"/>
      <c r="P29" s="15"/>
      <c r="Q29" s="41"/>
      <c r="R29" s="41"/>
      <c r="S29" s="41"/>
      <c r="T29" s="41"/>
      <c r="U29" s="41"/>
      <c r="V29" s="15"/>
      <c r="W29" s="41"/>
      <c r="X29" s="41"/>
      <c r="Y29" s="41"/>
      <c r="Z29" s="41"/>
      <c r="AA29" s="41"/>
      <c r="AB29" s="15"/>
      <c r="AC29" s="15"/>
      <c r="AD29" s="15"/>
      <c r="AE29" s="15"/>
      <c r="AF29" s="15"/>
    </row>
    <row r="30" spans="5:32" ht="18" x14ac:dyDescent="0.25">
      <c r="E30" s="42"/>
      <c r="F30" s="43"/>
      <c r="G30" s="41"/>
      <c r="H30" s="41"/>
      <c r="I30" s="41"/>
      <c r="J30" s="15"/>
      <c r="K30" s="44"/>
      <c r="L30" s="41"/>
      <c r="M30" s="41"/>
      <c r="N30" s="41"/>
      <c r="O30" s="41"/>
      <c r="P30" s="15"/>
      <c r="Q30" s="41"/>
      <c r="R30" s="41"/>
      <c r="S30" s="41"/>
      <c r="T30" s="41"/>
      <c r="U30" s="41"/>
      <c r="V30" s="15"/>
      <c r="W30" s="41"/>
      <c r="X30" s="41"/>
      <c r="Y30" s="41"/>
      <c r="Z30" s="41"/>
      <c r="AA30" s="41"/>
      <c r="AB30" s="15"/>
      <c r="AC30" s="15"/>
      <c r="AD30" s="15"/>
      <c r="AE30" s="15"/>
      <c r="AF30" s="15"/>
    </row>
    <row r="31" spans="5:32" ht="18.75" thickBot="1" x14ac:dyDescent="0.3">
      <c r="E31" s="42" t="s">
        <v>18</v>
      </c>
      <c r="F31" s="43"/>
      <c r="G31" s="41"/>
      <c r="H31" s="41"/>
      <c r="I31" s="41"/>
      <c r="J31" s="15"/>
      <c r="K31" s="44"/>
      <c r="L31" s="41"/>
      <c r="M31" s="41"/>
      <c r="N31" s="41"/>
      <c r="O31" s="41"/>
      <c r="P31" s="15"/>
      <c r="Q31" s="41"/>
      <c r="R31" s="41"/>
      <c r="S31" s="41"/>
      <c r="T31" s="41"/>
      <c r="U31" s="41"/>
      <c r="V31" s="15"/>
      <c r="W31" s="41"/>
      <c r="X31" s="41"/>
      <c r="Y31" s="41"/>
      <c r="Z31" s="41"/>
      <c r="AA31" s="41"/>
      <c r="AB31" s="15"/>
      <c r="AC31" s="15"/>
      <c r="AD31" s="15"/>
      <c r="AE31" s="15"/>
      <c r="AF31" s="15"/>
    </row>
    <row r="32" spans="5:32" ht="18.75" thickBot="1" x14ac:dyDescent="0.3">
      <c r="E32" s="42"/>
      <c r="F32" s="50"/>
      <c r="G32" s="51"/>
      <c r="H32" s="52"/>
      <c r="I32" s="41"/>
      <c r="J32" s="15"/>
      <c r="K32" s="41"/>
      <c r="L32" s="41"/>
      <c r="M32" s="41"/>
      <c r="N32" s="41"/>
      <c r="O32" s="41"/>
      <c r="P32" s="15"/>
      <c r="Q32" s="41"/>
      <c r="R32" s="41"/>
      <c r="S32" s="41"/>
      <c r="T32" s="41"/>
      <c r="U32" s="41"/>
      <c r="V32" s="15"/>
      <c r="W32" s="41"/>
      <c r="X32" s="41"/>
      <c r="Y32" s="41"/>
      <c r="Z32" s="41"/>
      <c r="AA32" s="41"/>
      <c r="AB32" s="15"/>
      <c r="AC32" s="15"/>
      <c r="AD32" s="15"/>
      <c r="AE32" s="15"/>
      <c r="AF32" s="15"/>
    </row>
    <row r="33" spans="5:32" ht="18" x14ac:dyDescent="0.25">
      <c r="E33" s="42"/>
      <c r="F33" s="43"/>
      <c r="G33" s="41"/>
      <c r="H33" s="41"/>
      <c r="I33" s="41"/>
      <c r="J33" s="15"/>
      <c r="K33" s="41"/>
      <c r="L33" s="41"/>
      <c r="M33" s="41"/>
      <c r="N33" s="41"/>
      <c r="O33" s="41"/>
      <c r="P33" s="15"/>
      <c r="Q33" s="41"/>
      <c r="R33" s="41"/>
      <c r="S33" s="41"/>
      <c r="T33" s="41"/>
      <c r="U33" s="41"/>
      <c r="V33" s="15"/>
      <c r="W33" s="41"/>
      <c r="X33" s="41"/>
      <c r="Y33" s="41"/>
      <c r="Z33" s="41"/>
      <c r="AA33" s="41"/>
      <c r="AB33" s="15"/>
      <c r="AC33" s="15"/>
      <c r="AD33" s="15"/>
      <c r="AE33" s="15"/>
      <c r="AF33" s="15"/>
    </row>
    <row r="34" spans="5:32" ht="18.75" thickBot="1" x14ac:dyDescent="0.3">
      <c r="E34" s="42" t="s">
        <v>19</v>
      </c>
      <c r="F34" s="43"/>
      <c r="G34" s="41"/>
      <c r="H34" s="41"/>
      <c r="I34" s="41"/>
      <c r="J34" s="15"/>
      <c r="K34" s="41"/>
      <c r="L34" s="41"/>
      <c r="M34" s="41"/>
      <c r="N34" s="41"/>
      <c r="O34" s="41"/>
      <c r="P34" s="15"/>
      <c r="Q34" s="41"/>
      <c r="R34" s="41"/>
      <c r="S34" s="41"/>
      <c r="T34" s="41"/>
      <c r="U34" s="41"/>
      <c r="V34" s="15"/>
      <c r="W34" s="41"/>
      <c r="X34" s="41"/>
      <c r="Y34" s="41"/>
      <c r="Z34" s="41"/>
      <c r="AA34" s="41"/>
      <c r="AB34" s="15"/>
      <c r="AC34" s="15"/>
      <c r="AD34" s="15"/>
      <c r="AE34" s="15"/>
      <c r="AF34" s="15"/>
    </row>
    <row r="35" spans="5:32" ht="15.75" thickBot="1" x14ac:dyDescent="0.3">
      <c r="E35" s="43"/>
      <c r="F35" s="50"/>
      <c r="G35" s="51"/>
      <c r="H35" s="52"/>
      <c r="I35" s="41"/>
      <c r="J35" s="15"/>
      <c r="K35" s="41"/>
      <c r="L35" s="41"/>
      <c r="M35" s="41"/>
      <c r="N35" s="41"/>
      <c r="O35" s="41"/>
      <c r="P35" s="15"/>
      <c r="Q35" s="41"/>
      <c r="R35" s="41"/>
      <c r="S35" s="41"/>
      <c r="T35" s="41"/>
      <c r="U35" s="41"/>
      <c r="V35" s="15"/>
      <c r="W35" s="41"/>
      <c r="X35" s="41"/>
      <c r="Y35" s="41"/>
      <c r="Z35" s="41"/>
      <c r="AA35" s="41"/>
      <c r="AB35" s="15"/>
      <c r="AC35" s="15"/>
      <c r="AD35" s="15"/>
      <c r="AE35" s="15"/>
      <c r="AF35" s="15"/>
    </row>
    <row r="36" spans="5:32" x14ac:dyDescent="0.25">
      <c r="E36" s="41"/>
      <c r="F36" s="41"/>
      <c r="G36" s="41"/>
      <c r="H36" s="41"/>
      <c r="I36" s="41"/>
      <c r="J36" s="15"/>
      <c r="K36" s="41"/>
      <c r="L36" s="41"/>
      <c r="M36" s="41"/>
      <c r="N36" s="41"/>
      <c r="O36" s="41"/>
      <c r="P36" s="15"/>
      <c r="Q36" s="41"/>
      <c r="R36" s="41"/>
      <c r="S36" s="41"/>
      <c r="T36" s="41"/>
      <c r="U36" s="41"/>
      <c r="V36" s="15"/>
      <c r="W36" s="41"/>
      <c r="X36" s="41"/>
      <c r="Y36" s="41"/>
      <c r="Z36" s="41"/>
      <c r="AA36" s="41"/>
      <c r="AB36" s="15"/>
      <c r="AC36" s="15"/>
      <c r="AD36" s="15"/>
      <c r="AE36" s="15"/>
      <c r="AF36" s="15"/>
    </row>
    <row r="37" spans="5:32" x14ac:dyDescent="0.25">
      <c r="E37" s="15"/>
      <c r="F37" s="15"/>
      <c r="G37" s="15"/>
      <c r="H37" s="15"/>
      <c r="I37" s="15"/>
      <c r="J37" s="15"/>
      <c r="K37" s="15"/>
      <c r="L37" s="15"/>
      <c r="M37" s="15"/>
      <c r="N37" s="15"/>
      <c r="O37" s="15"/>
      <c r="P37" s="15"/>
      <c r="Q37" s="15"/>
      <c r="R37" s="15"/>
      <c r="S37" s="15"/>
      <c r="T37" s="15"/>
      <c r="U37" s="15"/>
      <c r="V37" s="15"/>
      <c r="W37" s="15"/>
      <c r="X37" s="15"/>
      <c r="Y37" s="15"/>
      <c r="Z37" s="15"/>
      <c r="AA37" s="15"/>
      <c r="AB37" s="15"/>
      <c r="AC37" s="15"/>
      <c r="AD37" s="15"/>
      <c r="AE37" s="15"/>
      <c r="AF37" s="15"/>
    </row>
    <row r="38" spans="5:32" x14ac:dyDescent="0.25">
      <c r="E38" s="15"/>
      <c r="F38" s="15"/>
      <c r="G38" s="15"/>
      <c r="H38" s="15"/>
      <c r="I38" s="15"/>
      <c r="J38" s="15"/>
      <c r="K38" s="15"/>
      <c r="L38" s="15"/>
      <c r="M38" s="15"/>
      <c r="N38" s="15"/>
      <c r="O38" s="15"/>
      <c r="P38" s="15"/>
      <c r="Q38" s="15"/>
      <c r="R38" s="15"/>
      <c r="S38" s="15"/>
      <c r="T38" s="15"/>
      <c r="U38" s="15"/>
      <c r="V38" s="15"/>
      <c r="W38" s="15"/>
      <c r="X38" s="15"/>
      <c r="Y38" s="15"/>
      <c r="Z38" s="15"/>
      <c r="AA38" s="15"/>
      <c r="AB38" s="15"/>
      <c r="AC38" s="15"/>
      <c r="AD38" s="15"/>
      <c r="AE38" s="15"/>
      <c r="AF38" s="15"/>
    </row>
    <row r="39" spans="5:32" x14ac:dyDescent="0.25">
      <c r="E39" s="15"/>
      <c r="F39" s="15"/>
      <c r="G39" s="15"/>
      <c r="H39" s="15"/>
      <c r="I39" s="15"/>
      <c r="J39" s="15"/>
      <c r="K39" s="15"/>
      <c r="L39" s="15"/>
      <c r="M39" s="15"/>
      <c r="N39" s="15"/>
      <c r="O39" s="15"/>
      <c r="P39" s="15"/>
      <c r="Q39" s="15"/>
      <c r="R39" s="15"/>
      <c r="S39" s="15"/>
      <c r="T39" s="15"/>
      <c r="U39" s="15"/>
      <c r="V39" s="15"/>
      <c r="W39" s="15"/>
      <c r="X39" s="15"/>
      <c r="Y39" s="15"/>
      <c r="Z39" s="15"/>
      <c r="AA39" s="15"/>
      <c r="AB39" s="15"/>
      <c r="AC39" s="15"/>
      <c r="AD39" s="15"/>
      <c r="AE39" s="15"/>
      <c r="AF39" s="15"/>
    </row>
    <row r="40" spans="5:32" x14ac:dyDescent="0.25">
      <c r="E40" s="15"/>
      <c r="F40" s="15"/>
      <c r="G40" s="15"/>
      <c r="H40" s="15"/>
      <c r="I40" s="15"/>
      <c r="J40" s="15"/>
      <c r="K40" s="15"/>
      <c r="L40" s="15"/>
      <c r="M40" s="15"/>
      <c r="N40" s="15"/>
      <c r="O40" s="15"/>
      <c r="P40" s="15"/>
      <c r="Q40" s="15"/>
      <c r="R40" s="15"/>
      <c r="S40" s="15"/>
      <c r="T40" s="15"/>
      <c r="U40" s="15"/>
      <c r="V40" s="15"/>
      <c r="W40" s="15"/>
      <c r="X40" s="15"/>
      <c r="Y40" s="15"/>
      <c r="Z40" s="15"/>
      <c r="AA40" s="15"/>
      <c r="AB40" s="15"/>
      <c r="AC40" s="15"/>
      <c r="AD40" s="15"/>
      <c r="AE40" s="15"/>
      <c r="AF40" s="15"/>
    </row>
    <row r="41" spans="5:32" x14ac:dyDescent="0.25">
      <c r="E41" s="15"/>
      <c r="F41" s="15"/>
      <c r="G41" s="15"/>
      <c r="H41" s="15"/>
      <c r="I41" s="15"/>
      <c r="J41" s="15"/>
      <c r="K41" s="15"/>
      <c r="L41" s="15"/>
      <c r="M41" s="15"/>
      <c r="N41" s="15"/>
      <c r="O41" s="15"/>
      <c r="P41" s="15"/>
      <c r="Q41" s="15"/>
      <c r="R41" s="15"/>
      <c r="S41" s="15"/>
      <c r="T41" s="15"/>
      <c r="U41" s="15"/>
      <c r="V41" s="15"/>
      <c r="W41" s="15"/>
      <c r="X41" s="15"/>
      <c r="Y41" s="15"/>
      <c r="Z41" s="15"/>
      <c r="AA41" s="15"/>
      <c r="AB41" s="15"/>
      <c r="AC41" s="15"/>
      <c r="AD41" s="15"/>
      <c r="AE41" s="15"/>
      <c r="AF41" s="15"/>
    </row>
    <row r="42" spans="5:32" x14ac:dyDescent="0.25">
      <c r="E42" s="15"/>
      <c r="F42" s="15"/>
      <c r="G42" s="15"/>
      <c r="H42" s="15"/>
      <c r="I42" s="15"/>
      <c r="J42" s="15"/>
      <c r="K42" s="15"/>
      <c r="L42" s="15"/>
      <c r="M42" s="15"/>
      <c r="N42" s="15"/>
      <c r="O42" s="15"/>
      <c r="P42" s="15"/>
      <c r="Q42" s="15"/>
      <c r="R42" s="15"/>
      <c r="S42" s="15"/>
      <c r="T42" s="15"/>
      <c r="U42" s="15"/>
      <c r="V42" s="15"/>
      <c r="W42" s="15"/>
      <c r="X42" s="15"/>
      <c r="Y42" s="15"/>
      <c r="Z42" s="15"/>
      <c r="AA42" s="15"/>
      <c r="AB42" s="15"/>
      <c r="AC42" s="15"/>
      <c r="AD42" s="15"/>
      <c r="AE42" s="15"/>
      <c r="AF42" s="15"/>
    </row>
    <row r="43" spans="5:32" x14ac:dyDescent="0.25">
      <c r="E43" s="15"/>
      <c r="F43" s="15"/>
      <c r="G43" s="15"/>
      <c r="H43" s="15"/>
      <c r="I43" s="15"/>
      <c r="J43" s="15"/>
      <c r="K43" s="15"/>
      <c r="L43" s="15"/>
      <c r="M43" s="15"/>
      <c r="N43" s="15"/>
      <c r="O43" s="15"/>
      <c r="P43" s="15"/>
      <c r="Q43" s="15"/>
      <c r="R43" s="15"/>
      <c r="S43" s="15"/>
      <c r="T43" s="15"/>
      <c r="U43" s="15"/>
      <c r="V43" s="15"/>
      <c r="W43" s="15"/>
      <c r="X43" s="15"/>
      <c r="Y43" s="15"/>
      <c r="Z43" s="15"/>
      <c r="AA43" s="15"/>
      <c r="AB43" s="15"/>
      <c r="AC43" s="15"/>
      <c r="AD43" s="15"/>
      <c r="AE43" s="15"/>
      <c r="AF43" s="15"/>
    </row>
    <row r="44" spans="5:32" x14ac:dyDescent="0.25">
      <c r="E44" s="15"/>
      <c r="F44" s="15"/>
      <c r="G44" s="15"/>
      <c r="H44" s="15"/>
      <c r="I44" s="15"/>
      <c r="J44" s="15"/>
      <c r="K44" s="15"/>
      <c r="L44" s="15"/>
      <c r="M44" s="15"/>
      <c r="N44" s="15"/>
      <c r="O44" s="15"/>
      <c r="P44" s="15"/>
      <c r="Q44" s="15"/>
      <c r="R44" s="15"/>
      <c r="S44" s="15"/>
      <c r="T44" s="15"/>
      <c r="U44" s="15"/>
      <c r="V44" s="15"/>
      <c r="W44" s="15"/>
      <c r="X44" s="15"/>
      <c r="Y44" s="15"/>
      <c r="Z44" s="15"/>
      <c r="AA44" s="15"/>
      <c r="AB44" s="15"/>
      <c r="AC44" s="15"/>
      <c r="AD44" s="15"/>
      <c r="AE44" s="15"/>
      <c r="AF44" s="15"/>
    </row>
    <row r="45" spans="5:32" x14ac:dyDescent="0.2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c r="AE45" s="15"/>
      <c r="AF45" s="15"/>
    </row>
    <row r="46" spans="5:32" x14ac:dyDescent="0.25">
      <c r="E46" s="15"/>
      <c r="F46" s="15"/>
      <c r="G46" s="15"/>
      <c r="H46" s="15"/>
      <c r="I46" s="15"/>
      <c r="J46" s="15"/>
      <c r="K46" s="15"/>
      <c r="L46" s="15"/>
      <c r="M46" s="15"/>
      <c r="N46" s="15"/>
      <c r="O46" s="15"/>
      <c r="P46" s="15"/>
      <c r="Q46" s="15"/>
      <c r="R46" s="15"/>
      <c r="S46" s="15"/>
      <c r="T46" s="15"/>
      <c r="U46" s="15"/>
      <c r="V46" s="15"/>
      <c r="W46" s="15"/>
      <c r="X46" s="15"/>
      <c r="Y46" s="15"/>
      <c r="Z46" s="15"/>
      <c r="AA46" s="15"/>
      <c r="AB46" s="15"/>
      <c r="AC46" s="15"/>
      <c r="AD46" s="15"/>
      <c r="AE46" s="15"/>
      <c r="AF46" s="15"/>
    </row>
    <row r="47" spans="5:32" x14ac:dyDescent="0.25">
      <c r="E47" s="15"/>
      <c r="F47" s="15"/>
      <c r="G47" s="15"/>
      <c r="H47" s="15"/>
      <c r="I47" s="15"/>
      <c r="J47" s="15"/>
      <c r="K47" s="15"/>
      <c r="L47" s="15"/>
      <c r="M47" s="15"/>
      <c r="N47" s="15"/>
      <c r="O47" s="15"/>
      <c r="P47" s="15"/>
      <c r="Q47" s="15"/>
      <c r="R47" s="15"/>
      <c r="S47" s="15"/>
      <c r="T47" s="15"/>
      <c r="U47" s="15"/>
      <c r="V47" s="15"/>
      <c r="W47" s="15"/>
      <c r="X47" s="15"/>
      <c r="Y47" s="15"/>
      <c r="Z47" s="15"/>
      <c r="AA47" s="15"/>
      <c r="AB47" s="15"/>
      <c r="AC47" s="15"/>
      <c r="AD47" s="15"/>
      <c r="AE47" s="15"/>
      <c r="AF47" s="15"/>
    </row>
    <row r="48" spans="5:32" x14ac:dyDescent="0.25">
      <c r="E48" s="15"/>
      <c r="F48" s="15"/>
      <c r="G48" s="15"/>
      <c r="H48" s="15"/>
      <c r="I48" s="15"/>
      <c r="J48" s="15"/>
      <c r="K48" s="15"/>
      <c r="L48" s="15"/>
      <c r="M48" s="15"/>
      <c r="N48" s="15"/>
      <c r="O48" s="15"/>
      <c r="P48" s="15"/>
      <c r="Q48" s="15"/>
      <c r="R48" s="15"/>
      <c r="S48" s="15"/>
      <c r="T48" s="15"/>
      <c r="U48" s="15"/>
      <c r="V48" s="15"/>
      <c r="W48" s="15"/>
      <c r="X48" s="15"/>
      <c r="Y48" s="15"/>
      <c r="Z48" s="15"/>
      <c r="AA48" s="15"/>
      <c r="AB48" s="15"/>
      <c r="AC48" s="15"/>
      <c r="AD48" s="15"/>
      <c r="AE48" s="15"/>
      <c r="AF48" s="15"/>
    </row>
    <row r="49" spans="5:32" x14ac:dyDescent="0.25">
      <c r="E49" s="15"/>
      <c r="F49" s="15"/>
      <c r="G49" s="15"/>
      <c r="H49" s="15"/>
      <c r="I49" s="15"/>
      <c r="J49" s="15"/>
      <c r="K49" s="15"/>
      <c r="L49" s="15"/>
      <c r="M49" s="15"/>
      <c r="N49" s="15"/>
      <c r="O49" s="15"/>
      <c r="P49" s="15"/>
      <c r="Q49" s="15"/>
      <c r="R49" s="15"/>
      <c r="S49" s="15"/>
      <c r="T49" s="15"/>
      <c r="U49" s="15"/>
      <c r="V49" s="15"/>
      <c r="W49" s="15"/>
      <c r="X49" s="15"/>
      <c r="Y49" s="15"/>
      <c r="Z49" s="15"/>
      <c r="AA49" s="15"/>
      <c r="AB49" s="15"/>
      <c r="AC49" s="15"/>
      <c r="AD49" s="15"/>
      <c r="AE49" s="15"/>
      <c r="AF49" s="15"/>
    </row>
    <row r="50" spans="5:32" x14ac:dyDescent="0.25">
      <c r="E50" s="15"/>
      <c r="F50" s="15"/>
      <c r="G50" s="15"/>
      <c r="H50" s="15"/>
      <c r="I50" s="15"/>
      <c r="J50" s="15"/>
      <c r="K50" s="15"/>
      <c r="L50" s="15"/>
      <c r="M50" s="15"/>
      <c r="N50" s="15"/>
      <c r="O50" s="15"/>
      <c r="P50" s="15"/>
      <c r="Q50" s="15"/>
      <c r="R50" s="15"/>
      <c r="S50" s="15"/>
      <c r="T50" s="15"/>
      <c r="U50" s="15"/>
      <c r="V50" s="15"/>
      <c r="W50" s="15"/>
      <c r="X50" s="15"/>
      <c r="Y50" s="15"/>
      <c r="Z50" s="15"/>
      <c r="AA50" s="15"/>
      <c r="AB50" s="15"/>
      <c r="AC50" s="15"/>
      <c r="AD50" s="15"/>
      <c r="AE50" s="15"/>
      <c r="AF50" s="15"/>
    </row>
    <row r="51" spans="5:32" x14ac:dyDescent="0.25">
      <c r="E51" s="15"/>
      <c r="F51" s="15"/>
      <c r="G51" s="15"/>
      <c r="H51" s="15"/>
      <c r="I51" s="15"/>
      <c r="J51" s="15"/>
      <c r="K51" s="15"/>
      <c r="L51" s="15"/>
      <c r="M51" s="15"/>
      <c r="N51" s="15"/>
      <c r="O51" s="15"/>
      <c r="P51" s="15"/>
      <c r="Q51" s="15"/>
      <c r="R51" s="15"/>
      <c r="S51" s="15"/>
      <c r="T51" s="15"/>
      <c r="U51" s="15"/>
      <c r="V51" s="15"/>
      <c r="W51" s="15"/>
      <c r="X51" s="15"/>
      <c r="Y51" s="15"/>
      <c r="Z51" s="15"/>
      <c r="AA51" s="15"/>
      <c r="AB51" s="15"/>
      <c r="AC51" s="15"/>
      <c r="AD51" s="15"/>
      <c r="AE51" s="15"/>
      <c r="AF51" s="15"/>
    </row>
    <row r="52" spans="5:32" x14ac:dyDescent="0.25">
      <c r="E52" s="15"/>
      <c r="F52" s="15"/>
      <c r="G52" s="15"/>
      <c r="H52" s="15"/>
      <c r="I52" s="15"/>
      <c r="J52" s="15"/>
      <c r="K52" s="15"/>
      <c r="L52" s="15"/>
      <c r="M52" s="15"/>
      <c r="N52" s="15"/>
      <c r="O52" s="15"/>
      <c r="P52" s="15"/>
      <c r="Q52" s="15"/>
      <c r="R52" s="15"/>
      <c r="S52" s="15"/>
      <c r="T52" s="15"/>
      <c r="U52" s="15"/>
      <c r="V52" s="15"/>
      <c r="W52" s="15"/>
      <c r="X52" s="15"/>
      <c r="Y52" s="15"/>
      <c r="Z52" s="15"/>
      <c r="AA52" s="15"/>
      <c r="AB52" s="15"/>
      <c r="AC52" s="15"/>
      <c r="AD52" s="15"/>
      <c r="AE52" s="15"/>
      <c r="AF52" s="15"/>
    </row>
    <row r="53" spans="5:32" x14ac:dyDescent="0.25">
      <c r="E53" s="15"/>
      <c r="F53" s="15"/>
      <c r="G53" s="15"/>
      <c r="H53" s="15"/>
      <c r="I53" s="15"/>
      <c r="J53" s="15"/>
      <c r="K53" s="15"/>
      <c r="L53" s="15"/>
      <c r="M53" s="15"/>
      <c r="N53" s="15"/>
      <c r="O53" s="15"/>
      <c r="P53" s="15"/>
      <c r="Q53" s="15"/>
      <c r="R53" s="15"/>
      <c r="S53" s="15"/>
      <c r="T53" s="15"/>
      <c r="U53" s="15"/>
      <c r="V53" s="15"/>
      <c r="W53" s="15"/>
      <c r="X53" s="15"/>
      <c r="Y53" s="15"/>
      <c r="Z53" s="15"/>
      <c r="AA53" s="15"/>
      <c r="AB53" s="15"/>
      <c r="AC53" s="15"/>
      <c r="AD53" s="15"/>
      <c r="AE53" s="15"/>
      <c r="AF53" s="15"/>
    </row>
    <row r="54" spans="5:32" x14ac:dyDescent="0.25">
      <c r="E54" s="15"/>
      <c r="F54" s="15"/>
      <c r="G54" s="15"/>
      <c r="H54" s="15"/>
      <c r="I54" s="15"/>
      <c r="J54" s="15"/>
      <c r="K54" s="15"/>
      <c r="L54" s="15"/>
      <c r="M54" s="15"/>
      <c r="N54" s="15"/>
      <c r="O54" s="15"/>
      <c r="P54" s="15"/>
      <c r="Q54" s="15"/>
      <c r="R54" s="15"/>
      <c r="S54" s="15"/>
      <c r="T54" s="15"/>
      <c r="U54" s="15"/>
      <c r="V54" s="15"/>
      <c r="W54" s="15"/>
      <c r="X54" s="15"/>
      <c r="Y54" s="15"/>
      <c r="Z54" s="15"/>
      <c r="AA54" s="15"/>
      <c r="AB54" s="15"/>
      <c r="AC54" s="15"/>
      <c r="AD54" s="15"/>
      <c r="AE54" s="15"/>
      <c r="AF54" s="15"/>
    </row>
    <row r="55" spans="5:32" x14ac:dyDescent="0.25">
      <c r="E55" s="15"/>
      <c r="F55" s="15"/>
      <c r="G55" s="15"/>
      <c r="H55" s="15"/>
      <c r="I55" s="15"/>
      <c r="J55" s="15"/>
      <c r="K55" s="15"/>
      <c r="L55" s="15"/>
      <c r="M55" s="15"/>
      <c r="N55" s="15"/>
      <c r="O55" s="15"/>
      <c r="P55" s="15"/>
      <c r="Q55" s="15"/>
      <c r="R55" s="15"/>
      <c r="S55" s="15"/>
      <c r="T55" s="15"/>
      <c r="U55" s="15"/>
      <c r="V55" s="15"/>
      <c r="W55" s="15"/>
      <c r="X55" s="15"/>
      <c r="Y55" s="15"/>
      <c r="Z55" s="15"/>
      <c r="AA55" s="15"/>
      <c r="AB55" s="15"/>
      <c r="AC55" s="15"/>
      <c r="AD55" s="15"/>
      <c r="AE55" s="15"/>
      <c r="AF55" s="15"/>
    </row>
    <row r="56" spans="5:32" x14ac:dyDescent="0.25">
      <c r="E56" s="15"/>
      <c r="F56" s="15"/>
      <c r="G56" s="15"/>
      <c r="H56" s="15"/>
      <c r="I56" s="15"/>
      <c r="J56" s="15"/>
      <c r="K56" s="15"/>
      <c r="L56" s="15"/>
      <c r="M56" s="15"/>
      <c r="N56" s="15"/>
      <c r="O56" s="15"/>
      <c r="P56" s="15"/>
      <c r="Q56" s="15"/>
      <c r="R56" s="15"/>
      <c r="S56" s="15"/>
      <c r="T56" s="15"/>
      <c r="U56" s="15"/>
      <c r="V56" s="15"/>
      <c r="W56" s="15"/>
      <c r="X56" s="15"/>
      <c r="Y56" s="15"/>
      <c r="Z56" s="15"/>
      <c r="AA56" s="15"/>
      <c r="AB56" s="15"/>
      <c r="AC56" s="15"/>
      <c r="AD56" s="15"/>
      <c r="AE56" s="15"/>
      <c r="AF56" s="15"/>
    </row>
    <row r="57" spans="5:32" x14ac:dyDescent="0.25">
      <c r="E57" s="15"/>
      <c r="F57" s="15"/>
      <c r="G57" s="15"/>
      <c r="H57" s="15"/>
      <c r="I57" s="15"/>
      <c r="J57" s="15"/>
      <c r="K57" s="15"/>
      <c r="L57" s="15"/>
      <c r="M57" s="15"/>
      <c r="N57" s="15"/>
      <c r="O57" s="15"/>
      <c r="P57" s="15"/>
      <c r="Q57" s="15"/>
      <c r="R57" s="15"/>
      <c r="S57" s="15"/>
      <c r="T57" s="15"/>
      <c r="U57" s="15"/>
      <c r="V57" s="15"/>
      <c r="W57" s="15"/>
      <c r="X57" s="15"/>
      <c r="Y57" s="15"/>
      <c r="Z57" s="15"/>
      <c r="AA57" s="15"/>
      <c r="AB57" s="15"/>
      <c r="AC57" s="15"/>
      <c r="AD57" s="15"/>
      <c r="AE57" s="15"/>
      <c r="AF57" s="15"/>
    </row>
    <row r="58" spans="5:32" x14ac:dyDescent="0.25">
      <c r="E58" s="15"/>
      <c r="F58" s="15"/>
      <c r="G58" s="15"/>
      <c r="H58" s="15"/>
      <c r="I58" s="15"/>
      <c r="J58" s="15"/>
      <c r="K58" s="15"/>
      <c r="L58" s="15"/>
      <c r="M58" s="15"/>
      <c r="N58" s="15"/>
      <c r="O58" s="15"/>
      <c r="P58" s="15"/>
      <c r="Q58" s="15"/>
      <c r="R58" s="15"/>
      <c r="S58" s="15"/>
      <c r="T58" s="15"/>
      <c r="U58" s="15"/>
      <c r="V58" s="15"/>
      <c r="W58" s="15"/>
      <c r="X58" s="15"/>
      <c r="Y58" s="15"/>
      <c r="Z58" s="15"/>
      <c r="AA58" s="15"/>
      <c r="AB58" s="15"/>
      <c r="AC58" s="15"/>
      <c r="AD58" s="15"/>
      <c r="AE58" s="15"/>
      <c r="AF58" s="15"/>
    </row>
    <row r="59" spans="5:32" x14ac:dyDescent="0.25">
      <c r="E59" s="15"/>
      <c r="F59" s="15"/>
      <c r="G59" s="15"/>
      <c r="H59" s="15"/>
      <c r="I59" s="15"/>
      <c r="J59" s="15"/>
      <c r="K59" s="15"/>
      <c r="L59" s="15"/>
      <c r="M59" s="15"/>
      <c r="N59" s="15"/>
      <c r="O59" s="15"/>
      <c r="P59" s="15"/>
      <c r="Q59" s="15"/>
      <c r="R59" s="15"/>
      <c r="S59" s="15"/>
      <c r="T59" s="15"/>
      <c r="U59" s="15"/>
      <c r="V59" s="15"/>
      <c r="W59" s="15"/>
      <c r="X59" s="15"/>
      <c r="Y59" s="15"/>
      <c r="Z59" s="15"/>
      <c r="AA59" s="15"/>
      <c r="AB59" s="15"/>
      <c r="AC59" s="15"/>
      <c r="AD59" s="15"/>
      <c r="AE59" s="15"/>
      <c r="AF59" s="15"/>
    </row>
    <row r="60" spans="5:32" x14ac:dyDescent="0.25">
      <c r="E60" s="15"/>
      <c r="F60" s="15"/>
      <c r="G60" s="15"/>
      <c r="H60" s="15"/>
      <c r="I60" s="15"/>
      <c r="J60" s="15"/>
      <c r="K60" s="15"/>
      <c r="L60" s="15"/>
      <c r="M60" s="15"/>
      <c r="N60" s="15"/>
      <c r="O60" s="15"/>
      <c r="P60" s="15"/>
      <c r="Q60" s="15"/>
      <c r="R60" s="15"/>
      <c r="S60" s="15"/>
      <c r="T60" s="15"/>
      <c r="U60" s="15"/>
      <c r="V60" s="15"/>
      <c r="W60" s="15"/>
      <c r="X60" s="15"/>
      <c r="Y60" s="15"/>
      <c r="Z60" s="15"/>
      <c r="AA60" s="15"/>
      <c r="AB60" s="15"/>
      <c r="AC60" s="15"/>
      <c r="AD60" s="15"/>
      <c r="AE60" s="15"/>
      <c r="AF60" s="15"/>
    </row>
    <row r="61" spans="5:32" x14ac:dyDescent="0.25">
      <c r="E61" s="15"/>
      <c r="F61" s="15"/>
      <c r="G61" s="15"/>
      <c r="H61" s="15"/>
      <c r="I61" s="15"/>
      <c r="J61" s="21" t="s">
        <v>15</v>
      </c>
      <c r="K61" s="22">
        <v>0</v>
      </c>
      <c r="L61" s="15"/>
      <c r="M61" s="15"/>
      <c r="N61" s="15"/>
      <c r="O61" s="15"/>
      <c r="P61" s="15"/>
      <c r="Q61" s="15"/>
      <c r="R61" s="15"/>
      <c r="S61" s="15"/>
      <c r="T61" s="15"/>
      <c r="U61" s="15"/>
      <c r="V61" s="15"/>
      <c r="W61" s="15"/>
      <c r="X61" s="15"/>
      <c r="Y61" s="15"/>
      <c r="Z61" s="15"/>
      <c r="AA61" s="15"/>
      <c r="AB61" s="15"/>
      <c r="AC61" s="15"/>
      <c r="AD61" s="15"/>
      <c r="AE61" s="15"/>
      <c r="AF61" s="15"/>
    </row>
    <row r="62" spans="5:32" x14ac:dyDescent="0.25">
      <c r="E62" s="15"/>
      <c r="F62" s="15"/>
      <c r="G62" s="15"/>
      <c r="H62" s="15"/>
      <c r="I62" s="15"/>
      <c r="J62" s="21" t="s">
        <v>147</v>
      </c>
      <c r="K62" s="22">
        <v>0</v>
      </c>
      <c r="L62" s="15"/>
      <c r="M62" s="15"/>
      <c r="N62" s="15"/>
      <c r="O62" s="15"/>
      <c r="P62" s="15"/>
      <c r="Q62" s="15"/>
      <c r="R62" s="15"/>
      <c r="S62" s="15"/>
      <c r="T62" s="15"/>
      <c r="U62" s="15"/>
      <c r="V62" s="15"/>
      <c r="W62" s="15"/>
      <c r="X62" s="15"/>
      <c r="Y62" s="15"/>
      <c r="Z62" s="15"/>
      <c r="AA62" s="15"/>
      <c r="AB62" s="15"/>
      <c r="AC62" s="15"/>
      <c r="AD62" s="15"/>
      <c r="AE62" s="15"/>
      <c r="AF62" s="15"/>
    </row>
    <row r="63" spans="5:32" x14ac:dyDescent="0.25">
      <c r="E63" s="15"/>
      <c r="F63" s="15"/>
      <c r="G63" s="15"/>
      <c r="H63" s="15"/>
      <c r="I63" s="15"/>
      <c r="J63" s="21" t="s">
        <v>21</v>
      </c>
      <c r="K63" s="22">
        <v>0</v>
      </c>
      <c r="L63" s="15"/>
      <c r="M63" s="15"/>
      <c r="N63" s="15"/>
      <c r="O63" s="15"/>
      <c r="P63" s="15"/>
      <c r="Q63" s="15"/>
      <c r="R63" s="15"/>
      <c r="S63" s="15"/>
      <c r="T63" s="15"/>
      <c r="U63" s="15"/>
      <c r="V63" s="15"/>
      <c r="W63" s="15"/>
      <c r="X63" s="15"/>
      <c r="Y63" s="15"/>
      <c r="Z63" s="15"/>
      <c r="AA63" s="15"/>
      <c r="AB63" s="15"/>
      <c r="AC63" s="15"/>
      <c r="AD63" s="15"/>
      <c r="AE63" s="15"/>
      <c r="AF63" s="15"/>
    </row>
    <row r="64" spans="5:32" x14ac:dyDescent="0.25">
      <c r="E64" s="15"/>
      <c r="F64" s="15"/>
      <c r="G64" s="15"/>
      <c r="H64" s="15"/>
      <c r="I64" s="15"/>
      <c r="J64" s="22" t="s">
        <v>148</v>
      </c>
      <c r="K64" s="22">
        <v>0</v>
      </c>
      <c r="L64" s="15"/>
      <c r="M64" s="15"/>
      <c r="N64" s="15"/>
      <c r="O64" s="15"/>
      <c r="P64" s="15"/>
      <c r="Q64" s="15"/>
      <c r="R64" s="15"/>
      <c r="S64" s="15"/>
      <c r="T64" s="15"/>
      <c r="U64" s="15"/>
      <c r="V64" s="15"/>
      <c r="W64" s="15"/>
      <c r="X64" s="15"/>
      <c r="Y64" s="15"/>
      <c r="Z64" s="15"/>
      <c r="AA64" s="15"/>
      <c r="AB64" s="15"/>
      <c r="AC64" s="15"/>
      <c r="AD64" s="15"/>
      <c r="AE64" s="15"/>
      <c r="AF64" s="15"/>
    </row>
    <row r="65" spans="5:32" x14ac:dyDescent="0.25">
      <c r="E65" s="15"/>
      <c r="F65" s="15"/>
      <c r="G65" s="15"/>
      <c r="H65" s="15"/>
      <c r="I65" s="15"/>
      <c r="J65" s="22" t="s">
        <v>149</v>
      </c>
      <c r="K65" s="22">
        <v>0</v>
      </c>
      <c r="L65" s="15"/>
      <c r="M65" s="15"/>
      <c r="N65" s="15"/>
      <c r="O65" s="15"/>
      <c r="P65" s="15"/>
      <c r="Q65" s="15"/>
      <c r="R65" s="15"/>
      <c r="S65" s="15"/>
      <c r="T65" s="15"/>
      <c r="U65" s="15"/>
      <c r="V65" s="15"/>
      <c r="W65" s="15"/>
      <c r="X65" s="15"/>
      <c r="Y65" s="15"/>
      <c r="Z65" s="15"/>
      <c r="AA65" s="15"/>
      <c r="AB65" s="15"/>
      <c r="AC65" s="15"/>
      <c r="AD65" s="15"/>
      <c r="AE65" s="15"/>
      <c r="AF65" s="15"/>
    </row>
    <row r="66" spans="5:32" x14ac:dyDescent="0.25">
      <c r="E66" s="15"/>
      <c r="F66" s="15"/>
      <c r="G66" s="15"/>
      <c r="H66" s="15"/>
      <c r="I66" s="15"/>
      <c r="J66" s="22" t="s">
        <v>157</v>
      </c>
      <c r="K66" s="22">
        <v>0</v>
      </c>
      <c r="L66" s="15"/>
      <c r="M66" s="15"/>
      <c r="N66" s="15"/>
      <c r="O66" s="15"/>
      <c r="P66" s="15"/>
      <c r="Q66" s="15"/>
      <c r="R66" s="15"/>
      <c r="S66" s="15"/>
      <c r="T66" s="15"/>
      <c r="U66" s="15"/>
      <c r="V66" s="15"/>
      <c r="W66" s="15"/>
      <c r="X66" s="15"/>
      <c r="Y66" s="15"/>
      <c r="Z66" s="15"/>
      <c r="AA66" s="15"/>
      <c r="AB66" s="15"/>
      <c r="AC66" s="15"/>
      <c r="AD66" s="15"/>
      <c r="AE66" s="15"/>
      <c r="AF66" s="15"/>
    </row>
    <row r="67" spans="5:32" x14ac:dyDescent="0.25">
      <c r="E67" s="15"/>
      <c r="F67" s="15"/>
      <c r="G67" s="15"/>
      <c r="H67" s="15"/>
      <c r="I67" s="15"/>
      <c r="J67" s="22" t="s">
        <v>18</v>
      </c>
      <c r="K67" s="22">
        <v>0</v>
      </c>
      <c r="L67" s="15"/>
      <c r="M67" s="15"/>
      <c r="N67" s="15"/>
      <c r="O67" s="15"/>
      <c r="P67" s="15"/>
      <c r="Q67" s="15"/>
      <c r="R67" s="15"/>
      <c r="S67" s="15"/>
      <c r="T67" s="15"/>
      <c r="U67" s="15"/>
      <c r="V67" s="15"/>
      <c r="W67" s="15"/>
      <c r="X67" s="15"/>
      <c r="Y67" s="15"/>
      <c r="Z67" s="15"/>
      <c r="AA67" s="15"/>
      <c r="AB67" s="15"/>
      <c r="AC67" s="15"/>
      <c r="AD67" s="15"/>
      <c r="AE67" s="15"/>
      <c r="AF67" s="15"/>
    </row>
    <row r="68" spans="5:32" x14ac:dyDescent="0.25">
      <c r="E68" s="15"/>
      <c r="F68" s="15"/>
      <c r="G68" s="15"/>
      <c r="H68" s="15"/>
      <c r="I68" s="15"/>
      <c r="J68" s="22" t="s">
        <v>19</v>
      </c>
      <c r="K68" s="22">
        <v>0</v>
      </c>
      <c r="L68" s="15"/>
      <c r="M68" s="15"/>
      <c r="N68" s="15"/>
      <c r="O68" s="15"/>
      <c r="P68" s="15"/>
      <c r="Q68" s="15"/>
      <c r="R68" s="15"/>
      <c r="S68" s="15"/>
      <c r="T68" s="15"/>
      <c r="U68" s="15"/>
      <c r="V68" s="15"/>
      <c r="W68" s="15"/>
      <c r="X68" s="15"/>
      <c r="Y68" s="15"/>
      <c r="Z68" s="15"/>
      <c r="AA68" s="15"/>
      <c r="AB68" s="15"/>
      <c r="AC68" s="15"/>
      <c r="AD68" s="15"/>
      <c r="AE68" s="15"/>
      <c r="AF68" s="15"/>
    </row>
    <row r="69" spans="5:32" x14ac:dyDescent="0.25">
      <c r="E69" s="15"/>
      <c r="F69" s="15"/>
      <c r="G69" s="15"/>
      <c r="H69" s="15"/>
      <c r="I69" s="15"/>
      <c r="J69" s="22" t="s">
        <v>150</v>
      </c>
      <c r="K69" s="22">
        <v>0</v>
      </c>
      <c r="L69" s="15"/>
      <c r="M69" s="15"/>
      <c r="N69" s="15"/>
      <c r="O69" s="15"/>
      <c r="P69" s="15"/>
      <c r="Q69" s="15"/>
      <c r="R69" s="15"/>
      <c r="S69" s="15"/>
      <c r="T69" s="15"/>
      <c r="U69" s="15"/>
      <c r="V69" s="15"/>
      <c r="W69" s="15"/>
      <c r="X69" s="15"/>
      <c r="Y69" s="15"/>
      <c r="Z69" s="15"/>
      <c r="AA69" s="15"/>
      <c r="AB69" s="15"/>
      <c r="AC69" s="15"/>
      <c r="AD69" s="15"/>
      <c r="AE69" s="15"/>
      <c r="AF69" s="15"/>
    </row>
    <row r="70" spans="5:32" x14ac:dyDescent="0.25">
      <c r="E70" s="15"/>
      <c r="F70" s="15"/>
      <c r="G70" s="15"/>
      <c r="H70" s="15"/>
      <c r="I70" s="15"/>
      <c r="J70" s="22" t="s">
        <v>16</v>
      </c>
      <c r="K70" s="22">
        <v>0</v>
      </c>
      <c r="L70" s="15"/>
      <c r="M70" s="15"/>
      <c r="N70" s="15"/>
      <c r="O70" s="15"/>
      <c r="P70" s="15"/>
      <c r="Q70" s="15"/>
      <c r="R70" s="15"/>
      <c r="S70" s="15"/>
      <c r="T70" s="15"/>
      <c r="U70" s="15"/>
      <c r="V70" s="15"/>
      <c r="W70" s="15"/>
      <c r="X70" s="15"/>
      <c r="Y70" s="15"/>
      <c r="Z70" s="15"/>
      <c r="AA70" s="15"/>
      <c r="AB70" s="15"/>
      <c r="AC70" s="15"/>
      <c r="AD70" s="15"/>
      <c r="AE70" s="15"/>
      <c r="AF70" s="15"/>
    </row>
    <row r="71" spans="5:32" x14ac:dyDescent="0.25">
      <c r="E71" s="15"/>
      <c r="F71" s="15"/>
      <c r="G71" s="15"/>
      <c r="H71" s="15"/>
      <c r="I71" s="15"/>
      <c r="J71" s="22" t="s">
        <v>17</v>
      </c>
      <c r="K71" s="22">
        <v>0</v>
      </c>
      <c r="L71" s="15"/>
      <c r="M71" s="15"/>
      <c r="N71" s="15"/>
      <c r="O71" s="15"/>
      <c r="P71" s="15"/>
      <c r="Q71" s="15"/>
      <c r="R71" s="15"/>
      <c r="S71" s="15"/>
      <c r="T71" s="15"/>
      <c r="U71" s="15"/>
      <c r="V71" s="15"/>
      <c r="W71" s="15"/>
      <c r="X71" s="15"/>
      <c r="Y71" s="15"/>
      <c r="Z71" s="15"/>
      <c r="AA71" s="15"/>
      <c r="AB71" s="15"/>
      <c r="AC71" s="15"/>
      <c r="AD71" s="15"/>
      <c r="AE71" s="15"/>
      <c r="AF71" s="15"/>
    </row>
    <row r="72" spans="5:32" x14ac:dyDescent="0.25">
      <c r="E72" s="15"/>
      <c r="F72" s="15"/>
      <c r="G72" s="15"/>
      <c r="H72" s="15"/>
      <c r="I72" s="15"/>
      <c r="J72" s="22" t="s">
        <v>141</v>
      </c>
      <c r="K72" s="22">
        <v>0</v>
      </c>
      <c r="L72" s="15"/>
      <c r="M72" s="15"/>
      <c r="N72" s="15"/>
      <c r="O72" s="15"/>
      <c r="P72" s="15"/>
      <c r="Q72" s="15"/>
      <c r="R72" s="15"/>
      <c r="S72" s="15"/>
      <c r="T72" s="15"/>
      <c r="U72" s="15"/>
      <c r="V72" s="15"/>
      <c r="W72" s="15"/>
      <c r="X72" s="15"/>
      <c r="Y72" s="15"/>
      <c r="Z72" s="15"/>
      <c r="AA72" s="15"/>
      <c r="AB72" s="15"/>
      <c r="AC72" s="15"/>
      <c r="AD72" s="15"/>
      <c r="AE72" s="15"/>
      <c r="AF72" s="15"/>
    </row>
    <row r="73" spans="5:32" x14ac:dyDescent="0.25">
      <c r="E73" s="15"/>
      <c r="F73" s="15"/>
      <c r="G73" s="15"/>
      <c r="H73" s="15"/>
      <c r="I73" s="15"/>
      <c r="J73" s="22" t="s">
        <v>152</v>
      </c>
      <c r="K73" s="22">
        <v>0</v>
      </c>
      <c r="L73" s="15"/>
      <c r="M73" s="15"/>
      <c r="N73" s="15"/>
      <c r="O73" s="15"/>
      <c r="P73" s="15"/>
      <c r="Q73" s="15"/>
      <c r="R73" s="15"/>
      <c r="S73" s="15"/>
      <c r="T73" s="15"/>
      <c r="U73" s="15"/>
      <c r="V73" s="15"/>
      <c r="W73" s="15"/>
      <c r="X73" s="15"/>
      <c r="Y73" s="15"/>
      <c r="Z73" s="15"/>
      <c r="AA73" s="15"/>
      <c r="AB73" s="15"/>
      <c r="AC73" s="15"/>
      <c r="AD73" s="15"/>
      <c r="AE73" s="15"/>
      <c r="AF73" s="15"/>
    </row>
    <row r="74" spans="5:32" x14ac:dyDescent="0.25">
      <c r="E74" s="15"/>
      <c r="F74" s="15"/>
      <c r="G74" s="15"/>
      <c r="H74" s="15"/>
      <c r="I74" s="15"/>
      <c r="J74" s="22" t="s">
        <v>153</v>
      </c>
      <c r="K74" s="22">
        <v>0</v>
      </c>
      <c r="L74" s="15"/>
      <c r="M74" s="15"/>
      <c r="N74" s="15"/>
      <c r="O74" s="15"/>
      <c r="P74" s="15"/>
      <c r="Q74" s="15"/>
      <c r="R74" s="15"/>
      <c r="S74" s="15"/>
      <c r="T74" s="15"/>
      <c r="U74" s="15"/>
      <c r="V74" s="15"/>
      <c r="W74" s="15"/>
      <c r="X74" s="15"/>
      <c r="Y74" s="15"/>
      <c r="Z74" s="15"/>
      <c r="AA74" s="15"/>
      <c r="AB74" s="15"/>
      <c r="AC74" s="15"/>
      <c r="AD74" s="15"/>
      <c r="AE74" s="15"/>
      <c r="AF74" s="15"/>
    </row>
    <row r="75" spans="5:32" x14ac:dyDescent="0.25">
      <c r="E75" s="15"/>
      <c r="F75" s="15"/>
      <c r="G75" s="15"/>
      <c r="H75" s="15"/>
      <c r="I75" s="15"/>
      <c r="J75" s="22" t="s">
        <v>131</v>
      </c>
      <c r="K75" s="22">
        <v>0</v>
      </c>
      <c r="L75" s="15"/>
      <c r="M75" s="15"/>
      <c r="N75" s="15"/>
      <c r="O75" s="15"/>
      <c r="P75" s="15"/>
      <c r="Q75" s="15"/>
      <c r="R75" s="15"/>
      <c r="S75" s="15"/>
      <c r="T75" s="15"/>
      <c r="U75" s="15"/>
      <c r="V75" s="15"/>
      <c r="W75" s="15"/>
      <c r="X75" s="15"/>
      <c r="Y75" s="15"/>
      <c r="Z75" s="15"/>
      <c r="AA75" s="15"/>
      <c r="AB75" s="15"/>
      <c r="AC75" s="15"/>
      <c r="AD75" s="15"/>
      <c r="AE75" s="15"/>
      <c r="AF75" s="15"/>
    </row>
    <row r="76" spans="5:32" x14ac:dyDescent="0.25">
      <c r="E76" s="15"/>
      <c r="F76" s="15"/>
      <c r="G76" s="15"/>
      <c r="H76" s="15"/>
      <c r="I76" s="15"/>
      <c r="J76" s="22" t="s">
        <v>132</v>
      </c>
      <c r="K76" s="22">
        <v>0</v>
      </c>
      <c r="L76" s="15"/>
      <c r="M76" s="15"/>
      <c r="N76" s="15"/>
      <c r="O76" s="15"/>
      <c r="P76" s="15"/>
      <c r="Q76" s="15"/>
      <c r="R76" s="15"/>
      <c r="S76" s="15"/>
      <c r="T76" s="15"/>
      <c r="U76" s="15"/>
      <c r="V76" s="15"/>
      <c r="W76" s="15"/>
      <c r="X76" s="15"/>
      <c r="Y76" s="15"/>
      <c r="Z76" s="15"/>
      <c r="AA76" s="15"/>
      <c r="AB76" s="15"/>
      <c r="AC76" s="15"/>
      <c r="AD76" s="15"/>
      <c r="AE76" s="15"/>
      <c r="AF76" s="15"/>
    </row>
    <row r="77" spans="5:32" x14ac:dyDescent="0.25">
      <c r="E77" s="15"/>
      <c r="F77" s="15"/>
      <c r="G77" s="15"/>
      <c r="H77" s="15"/>
      <c r="I77" s="15"/>
      <c r="J77" s="22" t="s">
        <v>154</v>
      </c>
      <c r="K77" s="35">
        <v>0</v>
      </c>
      <c r="L77" s="15"/>
      <c r="M77" s="15"/>
      <c r="N77" s="15"/>
      <c r="O77" s="15"/>
      <c r="P77" s="15"/>
      <c r="Q77" s="15"/>
      <c r="R77" s="15"/>
      <c r="S77" s="15"/>
      <c r="T77" s="15"/>
      <c r="U77" s="15"/>
      <c r="V77" s="15"/>
      <c r="W77" s="15"/>
      <c r="X77" s="15"/>
      <c r="Y77" s="15"/>
      <c r="Z77" s="15"/>
      <c r="AA77" s="15"/>
      <c r="AB77" s="15"/>
      <c r="AC77" s="15"/>
      <c r="AD77" s="15"/>
      <c r="AE77" s="15"/>
      <c r="AF77" s="15"/>
    </row>
    <row r="78" spans="5:32" x14ac:dyDescent="0.25">
      <c r="E78" s="15"/>
      <c r="F78" s="15"/>
      <c r="G78" s="15"/>
      <c r="H78" s="15"/>
      <c r="I78" s="15"/>
      <c r="J78" s="22" t="s">
        <v>155</v>
      </c>
      <c r="K78" s="22">
        <v>0</v>
      </c>
      <c r="L78" s="15"/>
      <c r="M78" s="15"/>
      <c r="N78" s="15"/>
      <c r="O78" s="15"/>
      <c r="P78" s="15"/>
      <c r="Q78" s="15"/>
      <c r="R78" s="15"/>
      <c r="S78" s="15"/>
      <c r="T78" s="15"/>
      <c r="U78" s="15"/>
      <c r="V78" s="15"/>
      <c r="W78" s="15"/>
      <c r="X78" s="15"/>
      <c r="Y78" s="15"/>
      <c r="Z78" s="15"/>
      <c r="AA78" s="15"/>
      <c r="AB78" s="15"/>
      <c r="AC78" s="15"/>
      <c r="AD78" s="15"/>
      <c r="AE78" s="15"/>
      <c r="AF78" s="15"/>
    </row>
    <row r="79" spans="5:32" x14ac:dyDescent="0.25">
      <c r="E79" s="15"/>
      <c r="F79" s="15"/>
      <c r="G79" s="15"/>
      <c r="H79" s="15"/>
      <c r="I79" s="15"/>
      <c r="J79" s="22" t="s">
        <v>133</v>
      </c>
      <c r="K79" s="22">
        <v>0</v>
      </c>
      <c r="L79" s="15"/>
      <c r="M79" s="15"/>
      <c r="N79" s="15"/>
      <c r="O79" s="15"/>
      <c r="P79" s="15"/>
      <c r="Q79" s="15"/>
      <c r="R79" s="15"/>
      <c r="S79" s="15"/>
      <c r="T79" s="15"/>
      <c r="U79" s="15"/>
      <c r="V79" s="15"/>
      <c r="W79" s="15"/>
      <c r="X79" s="15"/>
      <c r="Y79" s="15"/>
      <c r="Z79" s="15"/>
      <c r="AA79" s="15"/>
      <c r="AB79" s="15"/>
      <c r="AC79" s="15"/>
      <c r="AD79" s="15"/>
      <c r="AE79" s="15"/>
      <c r="AF79" s="15"/>
    </row>
    <row r="80" spans="5:32" x14ac:dyDescent="0.25">
      <c r="E80" s="15"/>
      <c r="F80" s="15"/>
      <c r="G80" s="15"/>
      <c r="H80" s="15"/>
      <c r="I80" s="15"/>
      <c r="J80" s="22" t="s">
        <v>22</v>
      </c>
      <c r="K80" s="22">
        <v>0</v>
      </c>
      <c r="L80" s="15"/>
      <c r="M80" s="15"/>
      <c r="N80" s="15"/>
      <c r="O80" s="15"/>
      <c r="P80" s="15"/>
      <c r="Q80" s="15"/>
      <c r="R80" s="15"/>
      <c r="S80" s="15"/>
      <c r="T80" s="15"/>
      <c r="U80" s="15"/>
      <c r="V80" s="15"/>
      <c r="W80" s="15"/>
      <c r="X80" s="15"/>
      <c r="Y80" s="15"/>
      <c r="Z80" s="15"/>
      <c r="AA80" s="15"/>
      <c r="AB80" s="15"/>
      <c r="AC80" s="15"/>
      <c r="AD80" s="15"/>
      <c r="AE80" s="15"/>
      <c r="AF80" s="15"/>
    </row>
    <row r="81" spans="5:32" x14ac:dyDescent="0.25">
      <c r="E81" s="15"/>
      <c r="F81" s="15"/>
      <c r="G81" s="15"/>
      <c r="H81" s="15"/>
      <c r="I81" s="15"/>
      <c r="J81" s="22" t="s">
        <v>156</v>
      </c>
      <c r="K81" s="35">
        <v>0</v>
      </c>
      <c r="L81" s="15"/>
      <c r="M81" s="15"/>
      <c r="N81" s="15"/>
      <c r="O81" s="15"/>
      <c r="P81" s="15"/>
      <c r="Q81" s="15"/>
      <c r="R81" s="15"/>
      <c r="S81" s="15"/>
      <c r="T81" s="15"/>
      <c r="U81" s="15"/>
      <c r="V81" s="15"/>
      <c r="W81" s="15"/>
      <c r="X81" s="15"/>
      <c r="Y81" s="15"/>
      <c r="Z81" s="15"/>
      <c r="AA81" s="15"/>
      <c r="AB81" s="15"/>
      <c r="AC81" s="15"/>
      <c r="AD81" s="15"/>
      <c r="AE81" s="15"/>
      <c r="AF81" s="15"/>
    </row>
    <row r="82" spans="5:32" x14ac:dyDescent="0.25">
      <c r="E82" s="15"/>
      <c r="F82" s="15"/>
      <c r="G82" s="15"/>
      <c r="H82" s="15"/>
      <c r="I82" s="15"/>
      <c r="J82" s="22" t="s">
        <v>20</v>
      </c>
      <c r="K82" s="22">
        <v>0</v>
      </c>
      <c r="L82" s="15"/>
      <c r="M82" s="15"/>
      <c r="N82" s="15"/>
      <c r="O82" s="15"/>
      <c r="P82" s="15"/>
      <c r="Q82" s="15"/>
      <c r="R82" s="15"/>
      <c r="S82" s="15"/>
      <c r="T82" s="15"/>
      <c r="U82" s="15"/>
      <c r="V82" s="15"/>
      <c r="W82" s="15"/>
      <c r="X82" s="15"/>
      <c r="Y82" s="15"/>
      <c r="Z82" s="15"/>
      <c r="AA82" s="15"/>
      <c r="AB82" s="15"/>
      <c r="AC82" s="15"/>
      <c r="AD82" s="15"/>
      <c r="AE82" s="15"/>
      <c r="AF82" s="15"/>
    </row>
    <row r="83" spans="5:32" x14ac:dyDescent="0.25">
      <c r="E83" s="15"/>
      <c r="F83" s="15"/>
      <c r="G83" s="15"/>
      <c r="H83" s="15"/>
      <c r="I83" s="15"/>
      <c r="J83" s="15"/>
      <c r="K83" s="15"/>
      <c r="L83" s="15"/>
      <c r="M83" s="15"/>
      <c r="N83" s="15"/>
      <c r="O83" s="15"/>
      <c r="P83" s="15"/>
      <c r="Q83" s="15"/>
      <c r="R83" s="15"/>
      <c r="S83" s="15"/>
      <c r="T83" s="15"/>
      <c r="U83" s="15"/>
      <c r="V83" s="15"/>
      <c r="W83" s="15"/>
      <c r="X83" s="15"/>
      <c r="Y83" s="15"/>
      <c r="Z83" s="15"/>
      <c r="AA83" s="15"/>
      <c r="AB83" s="15"/>
      <c r="AC83" s="15"/>
      <c r="AD83" s="15"/>
      <c r="AE83" s="15"/>
      <c r="AF83" s="15"/>
    </row>
    <row r="84" spans="5:32" x14ac:dyDescent="0.25">
      <c r="E84" s="15"/>
      <c r="F84" s="15"/>
      <c r="G84" s="15"/>
      <c r="H84" s="15"/>
      <c r="I84" s="15"/>
      <c r="K84" s="15"/>
      <c r="L84" s="15"/>
      <c r="M84" s="15"/>
      <c r="N84" s="15"/>
      <c r="O84" s="15"/>
      <c r="P84" s="15"/>
      <c r="Q84" s="15"/>
      <c r="R84" s="15"/>
      <c r="S84" s="15"/>
      <c r="T84" s="15"/>
      <c r="U84" s="15"/>
      <c r="V84" s="15"/>
      <c r="W84" s="15"/>
      <c r="X84" s="15"/>
      <c r="Y84" s="15"/>
      <c r="Z84" s="15"/>
      <c r="AA84" s="15"/>
      <c r="AB84" s="15"/>
      <c r="AC84" s="15"/>
      <c r="AD84" s="15"/>
      <c r="AE84" s="15"/>
      <c r="AF84" s="15"/>
    </row>
    <row r="85" spans="5:32" x14ac:dyDescent="0.25">
      <c r="E85" s="15"/>
      <c r="F85" s="15"/>
      <c r="G85" s="15"/>
      <c r="H85" s="15"/>
      <c r="I85" s="15"/>
      <c r="K85" s="15"/>
      <c r="L85" s="15"/>
      <c r="M85" s="15"/>
      <c r="N85" s="15"/>
      <c r="O85" s="15"/>
      <c r="P85" s="15"/>
      <c r="Q85" s="15"/>
      <c r="R85" s="15"/>
      <c r="S85" s="15"/>
      <c r="T85" s="15"/>
      <c r="U85" s="15"/>
      <c r="V85" s="15"/>
      <c r="W85" s="15"/>
      <c r="X85" s="15"/>
      <c r="Y85" s="15"/>
      <c r="Z85" s="15"/>
      <c r="AA85" s="15"/>
      <c r="AB85" s="15"/>
      <c r="AC85" s="15"/>
      <c r="AD85" s="15"/>
      <c r="AE85" s="15"/>
      <c r="AF85" s="15"/>
    </row>
    <row r="86" spans="5:32" x14ac:dyDescent="0.25">
      <c r="E86" s="15"/>
      <c r="F86" s="15"/>
      <c r="G86" s="15"/>
      <c r="H86" s="15"/>
      <c r="I86" s="15"/>
      <c r="K86" s="15"/>
      <c r="L86" s="15"/>
      <c r="M86" s="15"/>
      <c r="N86" s="15"/>
      <c r="O86" s="15"/>
      <c r="P86" s="15"/>
      <c r="Q86" s="15"/>
      <c r="R86" s="15"/>
      <c r="S86" s="15"/>
      <c r="T86" s="15"/>
      <c r="U86" s="15"/>
      <c r="V86" s="15"/>
      <c r="W86" s="15"/>
      <c r="X86" s="15"/>
      <c r="Y86" s="15"/>
      <c r="Z86" s="15"/>
      <c r="AA86" s="15"/>
      <c r="AB86" s="15"/>
      <c r="AC86" s="15"/>
      <c r="AD86" s="15"/>
      <c r="AE86" s="15"/>
      <c r="AF86" s="15"/>
    </row>
    <row r="87" spans="5:32" x14ac:dyDescent="0.25">
      <c r="E87" s="15"/>
      <c r="F87" s="15"/>
      <c r="G87" s="15"/>
      <c r="H87" s="15"/>
      <c r="I87" s="15"/>
      <c r="K87" s="15"/>
      <c r="L87" s="15"/>
      <c r="M87" s="15"/>
      <c r="N87" s="15"/>
      <c r="O87" s="15"/>
      <c r="P87" s="15"/>
      <c r="Q87" s="15"/>
      <c r="R87" s="15"/>
      <c r="S87" s="15"/>
      <c r="T87" s="15"/>
      <c r="U87" s="15"/>
      <c r="V87" s="15"/>
      <c r="W87" s="15"/>
      <c r="X87" s="15"/>
      <c r="Y87" s="15"/>
      <c r="Z87" s="15"/>
      <c r="AA87" s="15"/>
      <c r="AB87" s="15"/>
      <c r="AC87" s="15"/>
      <c r="AD87" s="15"/>
      <c r="AE87" s="15"/>
      <c r="AF87" s="15"/>
    </row>
    <row r="88" spans="5:32" x14ac:dyDescent="0.25">
      <c r="E88" s="15"/>
      <c r="F88" s="15"/>
      <c r="G88" s="15"/>
      <c r="H88" s="15"/>
      <c r="I88" s="15"/>
      <c r="K88" s="15"/>
      <c r="L88" s="15"/>
      <c r="M88" s="15"/>
      <c r="N88" s="15"/>
      <c r="O88" s="15"/>
      <c r="P88" s="15"/>
      <c r="Q88" s="15"/>
      <c r="R88" s="15"/>
      <c r="S88" s="15"/>
      <c r="T88" s="15"/>
      <c r="U88" s="15"/>
      <c r="V88" s="15"/>
      <c r="W88" s="15"/>
      <c r="X88" s="15"/>
      <c r="Y88" s="15"/>
      <c r="Z88" s="15"/>
      <c r="AA88" s="15"/>
      <c r="AB88" s="15"/>
      <c r="AC88" s="15"/>
      <c r="AD88" s="15"/>
      <c r="AE88" s="15"/>
      <c r="AF88" s="15"/>
    </row>
    <row r="89" spans="5:32" x14ac:dyDescent="0.25">
      <c r="E89" s="15"/>
      <c r="F89" s="15"/>
      <c r="G89" s="15"/>
      <c r="H89" s="15"/>
      <c r="I89" s="15"/>
      <c r="K89" s="15"/>
      <c r="L89" s="15"/>
      <c r="M89" s="15"/>
      <c r="N89" s="15"/>
      <c r="O89" s="15"/>
      <c r="P89" s="15"/>
      <c r="Q89" s="15"/>
      <c r="R89" s="15"/>
      <c r="S89" s="15"/>
      <c r="T89" s="15"/>
      <c r="U89" s="15"/>
      <c r="V89" s="15"/>
      <c r="W89" s="15"/>
      <c r="X89" s="15"/>
      <c r="Y89" s="15"/>
      <c r="Z89" s="15"/>
      <c r="AA89" s="15"/>
      <c r="AB89" s="15"/>
      <c r="AC89" s="15"/>
      <c r="AD89" s="15"/>
      <c r="AE89" s="15"/>
      <c r="AF89" s="15"/>
    </row>
    <row r="90" spans="5:32" x14ac:dyDescent="0.25">
      <c r="E90" s="15"/>
      <c r="F90" s="15"/>
      <c r="G90" s="15"/>
      <c r="H90" s="15"/>
      <c r="I90" s="15"/>
      <c r="K90" s="15"/>
      <c r="L90" s="15"/>
      <c r="M90" s="15"/>
      <c r="N90" s="15"/>
      <c r="O90" s="15"/>
      <c r="P90" s="15"/>
      <c r="Q90" s="15"/>
      <c r="R90" s="15"/>
      <c r="S90" s="15"/>
      <c r="T90" s="15"/>
      <c r="U90" s="15"/>
      <c r="V90" s="15"/>
      <c r="W90" s="15"/>
      <c r="X90" s="15"/>
      <c r="Y90" s="15"/>
      <c r="Z90" s="15"/>
      <c r="AA90" s="15"/>
      <c r="AB90" s="15"/>
      <c r="AC90" s="15"/>
      <c r="AD90" s="15"/>
      <c r="AE90" s="15"/>
      <c r="AF90" s="15"/>
    </row>
    <row r="91" spans="5:32" x14ac:dyDescent="0.25">
      <c r="E91" s="15"/>
      <c r="F91" s="15"/>
      <c r="G91" s="15"/>
      <c r="H91" s="15"/>
      <c r="I91" s="15"/>
      <c r="K91" s="15"/>
      <c r="L91" s="15"/>
      <c r="M91" s="15"/>
      <c r="N91" s="15"/>
      <c r="O91" s="15"/>
      <c r="P91" s="15"/>
      <c r="Q91" s="15"/>
      <c r="R91" s="15"/>
      <c r="S91" s="15"/>
      <c r="T91" s="15"/>
      <c r="U91" s="15"/>
      <c r="V91" s="15"/>
      <c r="W91" s="15"/>
      <c r="X91" s="15"/>
      <c r="Y91" s="15"/>
      <c r="Z91" s="15"/>
      <c r="AA91" s="15"/>
      <c r="AB91" s="15"/>
      <c r="AC91" s="15"/>
      <c r="AD91" s="15"/>
      <c r="AE91" s="15"/>
      <c r="AF91" s="15"/>
    </row>
    <row r="92" spans="5:32" x14ac:dyDescent="0.25">
      <c r="E92" s="15"/>
      <c r="F92" s="15"/>
      <c r="G92" s="15"/>
      <c r="H92" s="15"/>
      <c r="I92" s="15"/>
      <c r="K92" s="15"/>
      <c r="L92" s="15"/>
      <c r="M92" s="15"/>
      <c r="N92" s="15"/>
      <c r="O92" s="15"/>
      <c r="P92" s="15"/>
      <c r="Q92" s="15"/>
      <c r="R92" s="15"/>
      <c r="S92" s="15"/>
      <c r="T92" s="15"/>
      <c r="U92" s="15"/>
      <c r="V92" s="15"/>
      <c r="W92" s="15"/>
      <c r="X92" s="15"/>
      <c r="Y92" s="15"/>
      <c r="Z92" s="15"/>
      <c r="AA92" s="15"/>
      <c r="AB92" s="15"/>
      <c r="AC92" s="15"/>
      <c r="AD92" s="15"/>
      <c r="AE92" s="15"/>
      <c r="AF92" s="15"/>
    </row>
    <row r="93" spans="5:32" x14ac:dyDescent="0.25">
      <c r="E93" s="15"/>
      <c r="F93" s="15"/>
      <c r="G93" s="15"/>
      <c r="H93" s="15"/>
      <c r="I93" s="15"/>
      <c r="K93" s="15"/>
      <c r="L93" s="15"/>
      <c r="M93" s="15"/>
      <c r="N93" s="15"/>
      <c r="O93" s="15"/>
      <c r="P93" s="15"/>
      <c r="Q93" s="15"/>
      <c r="R93" s="15"/>
      <c r="S93" s="15"/>
      <c r="T93" s="15"/>
      <c r="U93" s="15"/>
      <c r="V93" s="15"/>
      <c r="W93" s="15"/>
      <c r="X93" s="15"/>
      <c r="Y93" s="15"/>
      <c r="Z93" s="15"/>
      <c r="AA93" s="15"/>
      <c r="AB93" s="15"/>
      <c r="AC93" s="15"/>
      <c r="AD93" s="15"/>
      <c r="AE93" s="15"/>
      <c r="AF93" s="15"/>
    </row>
    <row r="94" spans="5:32" x14ac:dyDescent="0.25">
      <c r="E94" s="15"/>
      <c r="F94" s="15"/>
      <c r="G94" s="15"/>
      <c r="H94" s="15"/>
      <c r="I94" s="15"/>
      <c r="K94" s="15"/>
      <c r="L94" s="15"/>
      <c r="M94" s="15"/>
      <c r="N94" s="15"/>
      <c r="O94" s="15"/>
      <c r="P94" s="15"/>
      <c r="Q94" s="15"/>
      <c r="R94" s="15"/>
      <c r="S94" s="15"/>
      <c r="T94" s="15"/>
      <c r="U94" s="15"/>
      <c r="V94" s="15"/>
      <c r="W94" s="15"/>
      <c r="X94" s="15"/>
      <c r="Y94" s="15"/>
      <c r="Z94" s="15"/>
      <c r="AA94" s="15"/>
      <c r="AB94" s="15"/>
      <c r="AC94" s="15"/>
      <c r="AD94" s="15"/>
      <c r="AE94" s="15"/>
      <c r="AF94" s="15"/>
    </row>
    <row r="95" spans="5:32" x14ac:dyDescent="0.25">
      <c r="E95" s="15"/>
      <c r="F95" s="15"/>
      <c r="G95" s="15"/>
      <c r="H95" s="15"/>
      <c r="I95" s="15"/>
      <c r="K95" s="15"/>
      <c r="L95" s="15"/>
      <c r="M95" s="15"/>
      <c r="N95" s="15"/>
      <c r="O95" s="15"/>
      <c r="P95" s="15"/>
      <c r="Q95" s="15"/>
      <c r="R95" s="15"/>
      <c r="S95" s="15"/>
      <c r="T95" s="15"/>
      <c r="U95" s="15"/>
      <c r="V95" s="15"/>
      <c r="W95" s="15"/>
      <c r="X95" s="15"/>
      <c r="Y95" s="15"/>
      <c r="Z95" s="15"/>
      <c r="AA95" s="15"/>
      <c r="AB95" s="15"/>
      <c r="AC95" s="15"/>
      <c r="AD95" s="15"/>
      <c r="AE95" s="15"/>
      <c r="AF95" s="15"/>
    </row>
    <row r="96" spans="5:32" x14ac:dyDescent="0.25">
      <c r="E96" s="15"/>
      <c r="F96" s="15"/>
      <c r="G96" s="15"/>
      <c r="H96" s="15"/>
      <c r="I96" s="15"/>
      <c r="K96" s="15"/>
      <c r="L96" s="15"/>
      <c r="M96" s="15"/>
      <c r="N96" s="15"/>
      <c r="O96" s="15"/>
      <c r="P96" s="15"/>
      <c r="Q96" s="15"/>
      <c r="R96" s="15"/>
      <c r="S96" s="15"/>
      <c r="T96" s="15"/>
      <c r="U96" s="15"/>
      <c r="V96" s="15"/>
      <c r="W96" s="15"/>
      <c r="X96" s="15"/>
      <c r="Y96" s="15"/>
      <c r="Z96" s="15"/>
      <c r="AA96" s="15"/>
      <c r="AB96" s="15"/>
      <c r="AC96" s="15"/>
      <c r="AD96" s="15"/>
      <c r="AE96" s="15"/>
      <c r="AF96" s="15"/>
    </row>
    <row r="97" spans="5:32" x14ac:dyDescent="0.25">
      <c r="E97" s="15"/>
      <c r="F97" s="15"/>
      <c r="G97" s="15"/>
      <c r="H97" s="15"/>
      <c r="I97" s="15"/>
      <c r="K97" s="15"/>
      <c r="L97" s="15"/>
      <c r="M97" s="15"/>
      <c r="N97" s="15"/>
      <c r="O97" s="15"/>
      <c r="P97" s="15"/>
      <c r="Q97" s="15"/>
      <c r="R97" s="15"/>
      <c r="S97" s="15"/>
      <c r="T97" s="15"/>
      <c r="U97" s="15"/>
      <c r="V97" s="15"/>
      <c r="W97" s="15"/>
      <c r="X97" s="15"/>
      <c r="Y97" s="15"/>
      <c r="Z97" s="15"/>
      <c r="AA97" s="15"/>
      <c r="AB97" s="15"/>
      <c r="AC97" s="15"/>
      <c r="AD97" s="15"/>
      <c r="AE97" s="15"/>
      <c r="AF97" s="15"/>
    </row>
    <row r="98" spans="5:32" x14ac:dyDescent="0.25">
      <c r="E98" s="15"/>
      <c r="F98" s="15"/>
      <c r="G98" s="15"/>
      <c r="H98" s="15"/>
      <c r="I98" s="15"/>
      <c r="K98" s="15"/>
      <c r="L98" s="15"/>
      <c r="M98" s="15"/>
      <c r="N98" s="15"/>
      <c r="O98" s="15"/>
      <c r="P98" s="15"/>
      <c r="Q98" s="15"/>
      <c r="R98" s="15"/>
      <c r="S98" s="15"/>
      <c r="T98" s="15"/>
      <c r="U98" s="15"/>
      <c r="V98" s="15"/>
      <c r="W98" s="15"/>
      <c r="X98" s="15"/>
      <c r="Y98" s="15"/>
      <c r="Z98" s="15"/>
      <c r="AA98" s="15"/>
      <c r="AB98" s="15"/>
      <c r="AC98" s="15"/>
      <c r="AD98" s="15"/>
      <c r="AE98" s="15"/>
      <c r="AF98" s="15"/>
    </row>
    <row r="99" spans="5:32" x14ac:dyDescent="0.25">
      <c r="E99" s="15"/>
      <c r="F99" s="15"/>
      <c r="G99" s="15"/>
      <c r="H99" s="15"/>
      <c r="I99" s="15"/>
      <c r="K99" s="15"/>
      <c r="L99" s="15"/>
      <c r="M99" s="15"/>
      <c r="N99" s="15"/>
      <c r="O99" s="15"/>
      <c r="P99" s="15"/>
      <c r="Q99" s="15"/>
      <c r="R99" s="15"/>
      <c r="S99" s="15"/>
      <c r="T99" s="15"/>
      <c r="U99" s="15"/>
      <c r="V99" s="15"/>
      <c r="W99" s="15"/>
      <c r="X99" s="15"/>
      <c r="Y99" s="15"/>
      <c r="Z99" s="15"/>
      <c r="AA99" s="15"/>
      <c r="AB99" s="15"/>
      <c r="AC99" s="15"/>
      <c r="AD99" s="15"/>
      <c r="AE99" s="15"/>
      <c r="AF99" s="15"/>
    </row>
    <row r="100" spans="5:32" x14ac:dyDescent="0.25">
      <c r="E100" s="15"/>
      <c r="F100" s="15"/>
      <c r="G100" s="15"/>
      <c r="H100" s="15"/>
      <c r="I100" s="15"/>
      <c r="K100" s="15"/>
      <c r="L100" s="15"/>
      <c r="M100" s="15"/>
      <c r="N100" s="15"/>
      <c r="O100" s="15"/>
      <c r="P100" s="15"/>
      <c r="Q100" s="15"/>
      <c r="R100" s="15"/>
      <c r="S100" s="15"/>
      <c r="T100" s="15"/>
      <c r="U100" s="15"/>
      <c r="V100" s="15"/>
      <c r="W100" s="15"/>
      <c r="X100" s="15"/>
      <c r="Y100" s="15"/>
      <c r="Z100" s="15"/>
      <c r="AA100" s="15"/>
      <c r="AB100" s="15"/>
      <c r="AC100" s="15"/>
      <c r="AD100" s="15"/>
      <c r="AE100" s="15"/>
      <c r="AF100" s="15"/>
    </row>
    <row r="101" spans="5:32" x14ac:dyDescent="0.25">
      <c r="E101" s="15"/>
      <c r="F101" s="15"/>
      <c r="G101" s="15"/>
      <c r="H101" s="15"/>
      <c r="I101" s="15"/>
      <c r="J101" s="15"/>
      <c r="K101" s="15"/>
      <c r="L101" s="15"/>
      <c r="M101" s="15"/>
      <c r="N101" s="15"/>
      <c r="O101" s="15"/>
      <c r="P101" s="15"/>
      <c r="Q101" s="15"/>
      <c r="R101" s="15"/>
      <c r="S101" s="15"/>
      <c r="T101" s="15"/>
      <c r="U101" s="15"/>
      <c r="V101" s="15"/>
      <c r="W101" s="15"/>
      <c r="X101" s="15"/>
      <c r="Y101" s="15"/>
      <c r="Z101" s="15"/>
      <c r="AA101" s="15"/>
      <c r="AB101" s="15"/>
      <c r="AC101" s="15"/>
      <c r="AD101" s="15"/>
      <c r="AE101" s="15"/>
      <c r="AF101" s="15"/>
    </row>
    <row r="102" spans="5:32" x14ac:dyDescent="0.25">
      <c r="E102" s="15"/>
      <c r="F102" s="15"/>
      <c r="G102" s="15"/>
      <c r="H102" s="15"/>
      <c r="I102" s="15"/>
      <c r="J102" s="15"/>
      <c r="K102" s="15"/>
      <c r="L102" s="15"/>
      <c r="M102" s="15"/>
      <c r="N102" s="15"/>
      <c r="O102" s="15"/>
      <c r="P102" s="15"/>
      <c r="Q102" s="15"/>
      <c r="R102" s="15"/>
      <c r="S102" s="15"/>
      <c r="T102" s="15"/>
      <c r="U102" s="15"/>
      <c r="V102" s="15"/>
      <c r="W102" s="15"/>
      <c r="X102" s="15"/>
      <c r="Y102" s="15"/>
      <c r="Z102" s="15"/>
      <c r="AA102" s="15"/>
      <c r="AB102" s="15"/>
      <c r="AC102" s="15"/>
      <c r="AD102" s="15"/>
      <c r="AE102" s="15"/>
      <c r="AF102" s="15"/>
    </row>
    <row r="103" spans="5:32" x14ac:dyDescent="0.25">
      <c r="E103" s="15"/>
      <c r="F103" s="15"/>
      <c r="G103" s="15"/>
      <c r="H103" s="15"/>
      <c r="I103" s="15"/>
      <c r="J103" s="15"/>
      <c r="K103" s="15"/>
      <c r="L103" s="15"/>
      <c r="M103" s="15"/>
      <c r="N103" s="15"/>
      <c r="O103" s="15"/>
      <c r="P103" s="15"/>
      <c r="Q103" s="15"/>
      <c r="R103" s="15"/>
      <c r="S103" s="15"/>
      <c r="T103" s="15"/>
      <c r="U103" s="15"/>
      <c r="V103" s="15"/>
      <c r="W103" s="15"/>
      <c r="X103" s="15"/>
      <c r="Y103" s="15"/>
      <c r="Z103" s="15"/>
      <c r="AA103" s="15"/>
      <c r="AB103" s="15"/>
      <c r="AC103" s="15"/>
      <c r="AD103" s="15"/>
      <c r="AE103" s="15"/>
      <c r="AF103" s="15"/>
    </row>
    <row r="104" spans="5:32" x14ac:dyDescent="0.25">
      <c r="E104" s="15"/>
      <c r="F104" s="15"/>
      <c r="G104" s="15"/>
      <c r="H104" s="15"/>
      <c r="I104" s="15"/>
      <c r="J104" s="15"/>
      <c r="K104" s="15"/>
      <c r="L104" s="15"/>
      <c r="M104" s="15"/>
      <c r="N104" s="15"/>
      <c r="O104" s="15"/>
      <c r="P104" s="15"/>
      <c r="Q104" s="15"/>
      <c r="R104" s="15"/>
      <c r="S104" s="15"/>
      <c r="T104" s="15"/>
      <c r="U104" s="15"/>
      <c r="V104" s="15"/>
      <c r="W104" s="15"/>
      <c r="X104" s="15"/>
      <c r="Y104" s="15"/>
      <c r="Z104" s="15"/>
      <c r="AA104" s="15"/>
      <c r="AB104" s="15"/>
      <c r="AC104" s="15"/>
      <c r="AD104" s="15"/>
      <c r="AE104" s="15"/>
      <c r="AF104" s="15"/>
    </row>
    <row r="105" spans="5:32" x14ac:dyDescent="0.2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5"/>
      <c r="AC105" s="15"/>
      <c r="AD105" s="15"/>
      <c r="AE105" s="15"/>
      <c r="AF105" s="15"/>
    </row>
    <row r="106" spans="5:32" x14ac:dyDescent="0.25">
      <c r="E106" s="15"/>
      <c r="F106" s="15"/>
      <c r="G106" s="15"/>
      <c r="H106" s="15"/>
      <c r="I106" s="15"/>
      <c r="J106" s="15"/>
      <c r="K106" s="15"/>
      <c r="L106" s="15"/>
      <c r="M106" s="15"/>
      <c r="N106" s="15"/>
      <c r="O106" s="15"/>
      <c r="P106" s="15"/>
      <c r="Q106" s="15"/>
      <c r="R106" s="15"/>
      <c r="S106" s="15"/>
      <c r="T106" s="15"/>
      <c r="U106" s="15"/>
      <c r="V106" s="15"/>
      <c r="W106" s="15"/>
      <c r="X106" s="15"/>
      <c r="Y106" s="15"/>
      <c r="Z106" s="15"/>
      <c r="AA106" s="15"/>
      <c r="AB106" s="15"/>
      <c r="AC106" s="15"/>
      <c r="AD106" s="15"/>
      <c r="AE106" s="15"/>
      <c r="AF106" s="15"/>
    </row>
    <row r="107" spans="5:32" x14ac:dyDescent="0.25">
      <c r="E107" s="15"/>
      <c r="F107" s="15"/>
      <c r="G107" s="15"/>
      <c r="H107" s="15"/>
      <c r="I107" s="15"/>
      <c r="J107" s="15"/>
      <c r="K107" s="15"/>
      <c r="L107" s="15"/>
      <c r="M107" s="15"/>
      <c r="N107" s="15"/>
      <c r="O107" s="15"/>
      <c r="P107" s="15"/>
      <c r="Q107" s="15"/>
      <c r="R107" s="15"/>
      <c r="S107" s="15"/>
      <c r="T107" s="15"/>
      <c r="U107" s="15"/>
      <c r="V107" s="15"/>
      <c r="W107" s="15"/>
      <c r="X107" s="15"/>
      <c r="Y107" s="15"/>
      <c r="Z107" s="15"/>
      <c r="AA107" s="15"/>
      <c r="AB107" s="15"/>
      <c r="AC107" s="15"/>
      <c r="AD107" s="15"/>
      <c r="AE107" s="15"/>
      <c r="AF107" s="15"/>
    </row>
    <row r="108" spans="5:32" x14ac:dyDescent="0.25">
      <c r="E108" s="15"/>
      <c r="F108" s="15"/>
      <c r="G108" s="15"/>
      <c r="H108" s="15"/>
      <c r="I108" s="15"/>
      <c r="J108" s="15"/>
      <c r="K108" s="15"/>
      <c r="L108" s="15"/>
      <c r="M108" s="15"/>
      <c r="N108" s="15"/>
      <c r="O108" s="15"/>
      <c r="P108" s="15"/>
      <c r="Q108" s="15"/>
      <c r="R108" s="15"/>
      <c r="S108" s="15"/>
      <c r="T108" s="15"/>
      <c r="U108" s="15"/>
      <c r="V108" s="15"/>
      <c r="W108" s="15"/>
      <c r="X108" s="15"/>
      <c r="Y108" s="15"/>
      <c r="Z108" s="15"/>
      <c r="AA108" s="15"/>
      <c r="AB108" s="15"/>
      <c r="AC108" s="15"/>
      <c r="AD108" s="15"/>
      <c r="AE108" s="15"/>
      <c r="AF108" s="15"/>
    </row>
    <row r="109" spans="5:32" x14ac:dyDescent="0.25">
      <c r="E109" s="15"/>
      <c r="F109" s="15"/>
      <c r="G109" s="15"/>
      <c r="H109" s="15"/>
      <c r="I109" s="15"/>
      <c r="J109" s="15"/>
      <c r="K109" s="15"/>
      <c r="L109" s="15"/>
      <c r="M109" s="15"/>
      <c r="N109" s="15"/>
      <c r="O109" s="15"/>
      <c r="P109" s="15"/>
      <c r="Q109" s="15"/>
      <c r="R109" s="15"/>
      <c r="S109" s="15"/>
      <c r="T109" s="15"/>
      <c r="U109" s="15"/>
      <c r="V109" s="15"/>
      <c r="W109" s="15"/>
      <c r="X109" s="15"/>
      <c r="Y109" s="15"/>
      <c r="Z109" s="15"/>
      <c r="AA109" s="15"/>
      <c r="AB109" s="15"/>
      <c r="AC109" s="15"/>
      <c r="AD109" s="15"/>
      <c r="AE109" s="15"/>
      <c r="AF109" s="15"/>
    </row>
    <row r="110" spans="5:32" x14ac:dyDescent="0.25">
      <c r="E110" s="15"/>
      <c r="F110" s="15"/>
      <c r="G110" s="15"/>
      <c r="H110" s="15"/>
      <c r="I110" s="15"/>
      <c r="J110" s="15"/>
      <c r="K110" s="15"/>
      <c r="L110" s="15"/>
      <c r="M110" s="15"/>
      <c r="N110" s="15"/>
      <c r="O110" s="15"/>
      <c r="P110" s="15"/>
      <c r="Q110" s="15"/>
      <c r="R110" s="15"/>
      <c r="S110" s="15"/>
      <c r="T110" s="15"/>
      <c r="U110" s="15"/>
      <c r="V110" s="15"/>
      <c r="W110" s="15"/>
      <c r="X110" s="15"/>
      <c r="Y110" s="15"/>
      <c r="Z110" s="15"/>
      <c r="AA110" s="15"/>
      <c r="AB110" s="15"/>
      <c r="AC110" s="15"/>
      <c r="AD110" s="15"/>
      <c r="AE110" s="15"/>
      <c r="AF110" s="15"/>
    </row>
    <row r="111" spans="5:32" x14ac:dyDescent="0.25">
      <c r="E111" s="15"/>
      <c r="F111" s="15"/>
      <c r="G111" s="15"/>
      <c r="H111" s="15"/>
      <c r="I111" s="15"/>
      <c r="J111" s="15"/>
      <c r="K111" s="15"/>
      <c r="L111" s="15"/>
      <c r="M111" s="15"/>
      <c r="N111" s="15"/>
      <c r="O111" s="15"/>
      <c r="P111" s="15"/>
      <c r="Q111" s="15"/>
      <c r="R111" s="15"/>
      <c r="S111" s="15"/>
      <c r="T111" s="15"/>
      <c r="U111" s="15"/>
      <c r="V111" s="15"/>
      <c r="W111" s="15"/>
      <c r="X111" s="15"/>
      <c r="Y111" s="15"/>
      <c r="Z111" s="15"/>
      <c r="AA111" s="15"/>
      <c r="AB111" s="15"/>
      <c r="AC111" s="15"/>
      <c r="AD111" s="15"/>
      <c r="AE111" s="15"/>
      <c r="AF111" s="15"/>
    </row>
    <row r="112" spans="5:32" x14ac:dyDescent="0.25">
      <c r="E112" s="15"/>
      <c r="F112" s="15"/>
      <c r="G112" s="15"/>
      <c r="H112" s="15"/>
      <c r="I112" s="15"/>
      <c r="J112" s="15"/>
      <c r="K112" s="15"/>
      <c r="L112" s="15"/>
      <c r="M112" s="15"/>
      <c r="N112" s="15"/>
      <c r="O112" s="15"/>
      <c r="P112" s="15"/>
      <c r="Q112" s="15"/>
      <c r="R112" s="15"/>
      <c r="S112" s="15"/>
      <c r="T112" s="15"/>
      <c r="U112" s="15"/>
      <c r="V112" s="15"/>
      <c r="W112" s="15"/>
      <c r="X112" s="15"/>
      <c r="Y112" s="15"/>
      <c r="Z112" s="15"/>
      <c r="AA112" s="15"/>
      <c r="AB112" s="15"/>
      <c r="AC112" s="15"/>
      <c r="AD112" s="15"/>
      <c r="AE112" s="15"/>
      <c r="AF112" s="15"/>
    </row>
    <row r="113" spans="5:32" x14ac:dyDescent="0.25">
      <c r="E113" s="15"/>
      <c r="F113" s="15"/>
      <c r="G113" s="15"/>
      <c r="H113" s="15"/>
      <c r="I113" s="15"/>
      <c r="J113" s="15"/>
      <c r="K113" s="15"/>
      <c r="L113" s="15"/>
      <c r="M113" s="15"/>
      <c r="N113" s="15"/>
      <c r="O113" s="15"/>
      <c r="P113" s="15"/>
      <c r="Q113" s="15"/>
      <c r="R113" s="15"/>
      <c r="S113" s="15"/>
      <c r="T113" s="15"/>
      <c r="U113" s="15"/>
      <c r="V113" s="15"/>
      <c r="W113" s="15"/>
      <c r="X113" s="15"/>
      <c r="Y113" s="15"/>
      <c r="Z113" s="15"/>
      <c r="AA113" s="15"/>
      <c r="AB113" s="15"/>
      <c r="AC113" s="15"/>
      <c r="AD113" s="15"/>
      <c r="AE113" s="15"/>
      <c r="AF113" s="15"/>
    </row>
    <row r="114" spans="5:32" x14ac:dyDescent="0.25">
      <c r="E114" s="15"/>
      <c r="F114" s="15"/>
      <c r="G114" s="15"/>
      <c r="H114" s="15"/>
      <c r="I114" s="15"/>
      <c r="J114" s="15"/>
      <c r="K114" s="15"/>
      <c r="L114" s="15"/>
      <c r="M114" s="15"/>
      <c r="N114" s="15"/>
      <c r="O114" s="15"/>
      <c r="P114" s="15"/>
      <c r="Q114" s="15"/>
      <c r="R114" s="15"/>
      <c r="S114" s="15"/>
      <c r="T114" s="15"/>
      <c r="U114" s="15"/>
      <c r="V114" s="15"/>
      <c r="W114" s="15"/>
      <c r="X114" s="15"/>
      <c r="Y114" s="15"/>
      <c r="Z114" s="15"/>
      <c r="AA114" s="15"/>
      <c r="AB114" s="15"/>
      <c r="AC114" s="15"/>
      <c r="AD114" s="15"/>
      <c r="AE114" s="15"/>
      <c r="AF114" s="15"/>
    </row>
    <row r="115" spans="5:32" x14ac:dyDescent="0.25">
      <c r="E115" s="15"/>
      <c r="F115" s="15"/>
      <c r="G115" s="15"/>
      <c r="H115" s="15"/>
      <c r="I115" s="15"/>
      <c r="J115" s="15"/>
      <c r="K115" s="15"/>
      <c r="L115" s="15"/>
      <c r="M115" s="15"/>
      <c r="N115" s="15"/>
      <c r="O115" s="15"/>
      <c r="P115" s="15"/>
      <c r="Q115" s="15"/>
      <c r="R115" s="15"/>
      <c r="S115" s="15"/>
      <c r="T115" s="15"/>
      <c r="U115" s="15"/>
      <c r="V115" s="15"/>
      <c r="W115" s="15"/>
      <c r="X115" s="15"/>
      <c r="Y115" s="15"/>
      <c r="Z115" s="15"/>
      <c r="AA115" s="15"/>
      <c r="AB115" s="15"/>
      <c r="AC115" s="15"/>
      <c r="AD115" s="15"/>
      <c r="AE115" s="15"/>
      <c r="AF115" s="15"/>
    </row>
    <row r="116" spans="5:32" x14ac:dyDescent="0.25">
      <c r="E116" s="15"/>
      <c r="F116" s="15"/>
      <c r="G116" s="15"/>
      <c r="H116" s="15"/>
      <c r="I116" s="15"/>
      <c r="J116" s="15"/>
      <c r="K116" s="15"/>
      <c r="L116" s="15"/>
      <c r="M116" s="15"/>
      <c r="N116" s="15"/>
      <c r="O116" s="15"/>
      <c r="P116" s="15"/>
      <c r="Q116" s="15"/>
      <c r="R116" s="15"/>
      <c r="S116" s="15"/>
      <c r="T116" s="15"/>
      <c r="U116" s="15"/>
      <c r="V116" s="15"/>
      <c r="W116" s="15"/>
      <c r="X116" s="15"/>
      <c r="Y116" s="15"/>
      <c r="Z116" s="15"/>
      <c r="AA116" s="15"/>
      <c r="AB116" s="15"/>
      <c r="AC116" s="15"/>
      <c r="AD116" s="15"/>
      <c r="AE116" s="15"/>
      <c r="AF116" s="15"/>
    </row>
    <row r="117" spans="5:32" x14ac:dyDescent="0.25">
      <c r="E117" s="15"/>
      <c r="F117" s="15"/>
      <c r="G117" s="15"/>
      <c r="H117" s="15"/>
      <c r="I117" s="15"/>
      <c r="J117" s="15"/>
      <c r="K117" s="15"/>
      <c r="L117" s="15"/>
      <c r="M117" s="15"/>
      <c r="N117" s="15"/>
      <c r="O117" s="15"/>
      <c r="P117" s="15"/>
      <c r="Q117" s="15"/>
      <c r="R117" s="15"/>
      <c r="S117" s="15"/>
      <c r="T117" s="15"/>
      <c r="U117" s="15"/>
      <c r="V117" s="15"/>
      <c r="W117" s="15"/>
      <c r="X117" s="15"/>
      <c r="Y117" s="15"/>
      <c r="Z117" s="15"/>
      <c r="AA117" s="15"/>
      <c r="AB117" s="15"/>
      <c r="AC117" s="15"/>
      <c r="AD117" s="15"/>
      <c r="AE117" s="15"/>
      <c r="AF117" s="15"/>
    </row>
    <row r="118" spans="5:32" x14ac:dyDescent="0.25">
      <c r="E118" s="15"/>
      <c r="F118" s="15"/>
      <c r="G118" s="15"/>
      <c r="H118" s="15"/>
      <c r="I118" s="15"/>
      <c r="J118" s="15"/>
      <c r="K118" s="15"/>
      <c r="L118" s="15"/>
      <c r="M118" s="15"/>
      <c r="N118" s="15"/>
      <c r="O118" s="15"/>
      <c r="P118" s="15"/>
      <c r="Q118" s="15"/>
      <c r="R118" s="15"/>
      <c r="S118" s="15"/>
      <c r="T118" s="15"/>
      <c r="U118" s="15"/>
      <c r="V118" s="15"/>
      <c r="W118" s="15"/>
      <c r="X118" s="15"/>
      <c r="Y118" s="15"/>
      <c r="Z118" s="15"/>
      <c r="AA118" s="15"/>
      <c r="AB118" s="15"/>
      <c r="AC118" s="15"/>
      <c r="AD118" s="15"/>
      <c r="AE118" s="15"/>
      <c r="AF118" s="15"/>
    </row>
    <row r="119" spans="5:32" x14ac:dyDescent="0.25">
      <c r="E119" s="15"/>
      <c r="F119" s="15"/>
      <c r="G119" s="15"/>
      <c r="H119" s="15"/>
      <c r="I119" s="15"/>
      <c r="J119" s="15"/>
      <c r="K119" s="15"/>
      <c r="L119" s="15"/>
      <c r="M119" s="15"/>
      <c r="N119" s="15"/>
      <c r="O119" s="15"/>
      <c r="P119" s="15"/>
      <c r="Q119" s="15"/>
      <c r="R119" s="15"/>
      <c r="S119" s="15"/>
      <c r="T119" s="15"/>
      <c r="U119" s="15"/>
      <c r="V119" s="15"/>
      <c r="W119" s="15"/>
      <c r="X119" s="15"/>
      <c r="Y119" s="15"/>
      <c r="Z119" s="15"/>
      <c r="AA119" s="15"/>
      <c r="AB119" s="15"/>
      <c r="AC119" s="15"/>
      <c r="AD119" s="15"/>
      <c r="AE119" s="15"/>
      <c r="AF119" s="15"/>
    </row>
    <row r="120" spans="5:32" x14ac:dyDescent="0.25">
      <c r="E120" s="15"/>
      <c r="F120" s="15"/>
      <c r="G120" s="15"/>
      <c r="H120" s="15"/>
      <c r="I120" s="15"/>
      <c r="J120" s="15"/>
      <c r="K120" s="15"/>
      <c r="L120" s="15"/>
      <c r="M120" s="15"/>
      <c r="N120" s="15"/>
      <c r="O120" s="15"/>
      <c r="P120" s="15"/>
      <c r="Q120" s="15"/>
      <c r="R120" s="15"/>
      <c r="S120" s="15"/>
      <c r="T120" s="15"/>
      <c r="U120" s="15"/>
      <c r="V120" s="15"/>
      <c r="W120" s="15"/>
      <c r="X120" s="15"/>
      <c r="Y120" s="15"/>
      <c r="Z120" s="15"/>
      <c r="AA120" s="15"/>
      <c r="AB120" s="15"/>
      <c r="AC120" s="15"/>
      <c r="AD120" s="15"/>
      <c r="AE120" s="15"/>
      <c r="AF120" s="15"/>
    </row>
    <row r="121" spans="5:32" x14ac:dyDescent="0.25">
      <c r="E121" s="15"/>
      <c r="F121" s="15"/>
      <c r="G121" s="15"/>
      <c r="H121" s="15"/>
      <c r="I121" s="15"/>
      <c r="J121" s="15"/>
      <c r="K121" s="15"/>
      <c r="L121" s="15"/>
      <c r="M121" s="15"/>
      <c r="N121" s="15"/>
      <c r="O121" s="15"/>
      <c r="P121" s="15"/>
      <c r="Q121" s="15"/>
      <c r="R121" s="15"/>
      <c r="S121" s="15"/>
      <c r="T121" s="15"/>
      <c r="U121" s="15"/>
      <c r="V121" s="15"/>
      <c r="W121" s="15"/>
      <c r="X121" s="15"/>
      <c r="Y121" s="15"/>
      <c r="Z121" s="15"/>
      <c r="AA121" s="15"/>
      <c r="AB121" s="15"/>
      <c r="AC121" s="15"/>
      <c r="AD121" s="15"/>
      <c r="AE121" s="15"/>
      <c r="AF121" s="15"/>
    </row>
    <row r="122" spans="5:32" x14ac:dyDescent="0.25">
      <c r="E122" s="15"/>
      <c r="F122" s="15"/>
      <c r="G122" s="15"/>
      <c r="H122" s="15"/>
      <c r="I122" s="15"/>
      <c r="J122" s="15"/>
      <c r="K122" s="15"/>
      <c r="L122" s="15"/>
      <c r="M122" s="15"/>
      <c r="N122" s="15"/>
      <c r="O122" s="15"/>
      <c r="P122" s="15"/>
      <c r="Q122" s="15"/>
      <c r="R122" s="15"/>
      <c r="S122" s="15"/>
      <c r="T122" s="15"/>
      <c r="U122" s="15"/>
      <c r="V122" s="15"/>
      <c r="W122" s="15"/>
      <c r="X122" s="15"/>
      <c r="Y122" s="15"/>
      <c r="Z122" s="15"/>
      <c r="AA122" s="15"/>
      <c r="AB122" s="15"/>
      <c r="AC122" s="15"/>
      <c r="AD122" s="15"/>
      <c r="AE122" s="15"/>
      <c r="AF122" s="15"/>
    </row>
    <row r="123" spans="5:32" x14ac:dyDescent="0.25">
      <c r="E123" s="15"/>
      <c r="F123" s="15"/>
      <c r="G123" s="15"/>
      <c r="H123" s="15"/>
      <c r="I123" s="15"/>
      <c r="J123" s="15"/>
      <c r="K123" s="15"/>
      <c r="L123" s="15"/>
      <c r="M123" s="15"/>
      <c r="N123" s="15"/>
      <c r="O123" s="15"/>
      <c r="P123" s="15"/>
      <c r="Q123" s="15"/>
      <c r="R123" s="15"/>
      <c r="S123" s="15"/>
      <c r="T123" s="15"/>
      <c r="U123" s="15"/>
      <c r="V123" s="15"/>
      <c r="W123" s="15"/>
      <c r="X123" s="15"/>
      <c r="Y123" s="15"/>
      <c r="Z123" s="15"/>
      <c r="AA123" s="15"/>
      <c r="AB123" s="15"/>
      <c r="AC123" s="15"/>
      <c r="AD123" s="15"/>
      <c r="AE123" s="15"/>
      <c r="AF123" s="15"/>
    </row>
    <row r="124" spans="5:32" x14ac:dyDescent="0.25">
      <c r="E124" s="15"/>
      <c r="F124" s="15"/>
      <c r="G124" s="15"/>
      <c r="H124" s="15"/>
      <c r="I124" s="15"/>
      <c r="J124" s="15"/>
      <c r="K124" s="15"/>
      <c r="L124" s="15"/>
      <c r="M124" s="15"/>
      <c r="N124" s="15"/>
      <c r="O124" s="15"/>
      <c r="P124" s="15"/>
      <c r="Q124" s="15"/>
      <c r="R124" s="15"/>
      <c r="S124" s="15"/>
      <c r="T124" s="15"/>
      <c r="U124" s="15"/>
      <c r="V124" s="15"/>
      <c r="W124" s="15"/>
      <c r="X124" s="15"/>
      <c r="Y124" s="15"/>
      <c r="Z124" s="15"/>
      <c r="AA124" s="15"/>
      <c r="AB124" s="15"/>
      <c r="AC124" s="15"/>
      <c r="AD124" s="15"/>
      <c r="AE124" s="15"/>
      <c r="AF124" s="15"/>
    </row>
    <row r="125" spans="5:32" x14ac:dyDescent="0.25">
      <c r="E125" s="15"/>
      <c r="F125" s="15"/>
      <c r="G125" s="15"/>
      <c r="H125" s="15"/>
      <c r="I125" s="15"/>
      <c r="J125" s="15"/>
      <c r="K125" s="15"/>
      <c r="L125" s="15"/>
      <c r="M125" s="15"/>
      <c r="N125" s="15"/>
      <c r="O125" s="15"/>
      <c r="P125" s="15"/>
      <c r="Q125" s="15"/>
      <c r="R125" s="15"/>
      <c r="S125" s="15"/>
      <c r="T125" s="15"/>
      <c r="U125" s="15"/>
      <c r="V125" s="15"/>
      <c r="W125" s="15"/>
      <c r="X125" s="15"/>
      <c r="Y125" s="15"/>
      <c r="Z125" s="15"/>
      <c r="AA125" s="15"/>
      <c r="AB125" s="15"/>
      <c r="AC125" s="15"/>
      <c r="AD125" s="15"/>
      <c r="AE125" s="15"/>
      <c r="AF125" s="15"/>
    </row>
    <row r="126" spans="5:32" x14ac:dyDescent="0.25">
      <c r="E126" s="15"/>
      <c r="F126" s="15"/>
      <c r="G126" s="15"/>
      <c r="H126" s="15"/>
      <c r="I126" s="15"/>
      <c r="J126" s="15"/>
      <c r="K126" s="15"/>
      <c r="L126" s="15"/>
      <c r="M126" s="15"/>
      <c r="N126" s="15"/>
      <c r="O126" s="15"/>
      <c r="P126" s="15"/>
      <c r="Q126" s="15"/>
      <c r="R126" s="15"/>
      <c r="S126" s="15"/>
      <c r="T126" s="15"/>
      <c r="U126" s="15"/>
      <c r="V126" s="15"/>
      <c r="W126" s="15"/>
      <c r="X126" s="15"/>
      <c r="Y126" s="15"/>
      <c r="Z126" s="15"/>
      <c r="AA126" s="15"/>
      <c r="AB126" s="15"/>
      <c r="AC126" s="15"/>
      <c r="AD126" s="15"/>
      <c r="AE126" s="15"/>
      <c r="AF126" s="15"/>
    </row>
    <row r="127" spans="5:32" x14ac:dyDescent="0.25">
      <c r="E127" s="15"/>
      <c r="F127" s="15"/>
      <c r="G127" s="15"/>
      <c r="H127" s="15"/>
      <c r="I127" s="15"/>
      <c r="J127" s="15"/>
      <c r="K127" s="15"/>
      <c r="L127" s="15"/>
      <c r="M127" s="15"/>
      <c r="N127" s="15"/>
      <c r="O127" s="15"/>
      <c r="P127" s="15"/>
      <c r="Q127" s="15"/>
      <c r="R127" s="15"/>
      <c r="S127" s="15"/>
      <c r="T127" s="15"/>
      <c r="U127" s="15"/>
      <c r="V127" s="15"/>
      <c r="W127" s="15"/>
      <c r="X127" s="15"/>
      <c r="Y127" s="15"/>
      <c r="Z127" s="15"/>
      <c r="AA127" s="15"/>
      <c r="AB127" s="15"/>
      <c r="AC127" s="15"/>
      <c r="AD127" s="15"/>
      <c r="AE127" s="15"/>
      <c r="AF127" s="15"/>
    </row>
    <row r="128" spans="5:32" x14ac:dyDescent="0.25">
      <c r="E128" s="15"/>
      <c r="F128" s="15"/>
      <c r="G128" s="15"/>
      <c r="H128" s="15"/>
      <c r="I128" s="15"/>
      <c r="J128" s="15"/>
      <c r="K128" s="15"/>
      <c r="L128" s="15"/>
      <c r="M128" s="15"/>
      <c r="N128" s="15"/>
      <c r="O128" s="15"/>
      <c r="P128" s="15"/>
      <c r="Q128" s="15"/>
      <c r="R128" s="15"/>
      <c r="S128" s="15"/>
      <c r="T128" s="15"/>
      <c r="U128" s="15"/>
      <c r="V128" s="15"/>
      <c r="W128" s="15"/>
      <c r="X128" s="15"/>
      <c r="Y128" s="15"/>
      <c r="Z128" s="15"/>
      <c r="AA128" s="15"/>
      <c r="AB128" s="15"/>
      <c r="AC128" s="15"/>
      <c r="AD128" s="15"/>
      <c r="AE128" s="15"/>
      <c r="AF128" s="15"/>
    </row>
    <row r="129" spans="5:32" x14ac:dyDescent="0.25">
      <c r="E129" s="15"/>
      <c r="F129" s="15"/>
      <c r="G129" s="15"/>
      <c r="H129" s="15"/>
      <c r="I129" s="15"/>
      <c r="J129" s="15"/>
      <c r="K129" s="15"/>
      <c r="L129" s="15"/>
      <c r="M129" s="15"/>
      <c r="N129" s="15"/>
      <c r="O129" s="15"/>
      <c r="P129" s="15"/>
      <c r="Q129" s="15"/>
      <c r="R129" s="15"/>
      <c r="S129" s="15"/>
      <c r="T129" s="15"/>
      <c r="U129" s="15"/>
      <c r="V129" s="15"/>
      <c r="W129" s="15"/>
      <c r="X129" s="15"/>
      <c r="Y129" s="15"/>
      <c r="Z129" s="15"/>
      <c r="AA129" s="15"/>
      <c r="AB129" s="15"/>
      <c r="AC129" s="15"/>
      <c r="AD129" s="15"/>
      <c r="AE129" s="15"/>
      <c r="AF129" s="15"/>
    </row>
    <row r="130" spans="5:32" x14ac:dyDescent="0.25">
      <c r="E130" s="15"/>
      <c r="F130" s="15"/>
      <c r="G130" s="15"/>
      <c r="H130" s="15"/>
      <c r="I130" s="15"/>
      <c r="J130" s="15"/>
      <c r="K130" s="15"/>
      <c r="L130" s="15"/>
      <c r="M130" s="15"/>
      <c r="N130" s="15"/>
      <c r="O130" s="15"/>
      <c r="P130" s="15"/>
      <c r="Q130" s="15"/>
      <c r="R130" s="15"/>
      <c r="S130" s="15"/>
      <c r="T130" s="15"/>
      <c r="U130" s="15"/>
      <c r="V130" s="15"/>
      <c r="W130" s="15"/>
      <c r="X130" s="15"/>
      <c r="Y130" s="15"/>
      <c r="Z130" s="15"/>
      <c r="AA130" s="15"/>
      <c r="AB130" s="15"/>
      <c r="AC130" s="15"/>
      <c r="AD130" s="15"/>
      <c r="AE130" s="15"/>
      <c r="AF130" s="15"/>
    </row>
    <row r="131" spans="5:32" x14ac:dyDescent="0.25">
      <c r="E131" s="15"/>
      <c r="F131" s="15"/>
      <c r="G131" s="15"/>
      <c r="H131" s="15"/>
      <c r="I131" s="15"/>
      <c r="J131" s="15"/>
      <c r="K131" s="15"/>
      <c r="L131" s="15"/>
      <c r="M131" s="15"/>
      <c r="N131" s="15"/>
      <c r="O131" s="15"/>
      <c r="P131" s="15"/>
      <c r="Q131" s="15"/>
      <c r="R131" s="15"/>
      <c r="S131" s="15"/>
      <c r="T131" s="15"/>
      <c r="U131" s="15"/>
      <c r="V131" s="15"/>
      <c r="W131" s="15"/>
      <c r="X131" s="15"/>
      <c r="Y131" s="15"/>
      <c r="Z131" s="15"/>
      <c r="AA131" s="15"/>
      <c r="AB131" s="15"/>
      <c r="AC131" s="15"/>
      <c r="AD131" s="15"/>
      <c r="AE131" s="15"/>
      <c r="AF131" s="15"/>
    </row>
    <row r="132" spans="5:32" x14ac:dyDescent="0.2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row>
    <row r="133" spans="5:32" x14ac:dyDescent="0.25">
      <c r="E133" s="15"/>
      <c r="F133" s="15"/>
      <c r="G133" s="15"/>
      <c r="H133" s="15"/>
      <c r="I133" s="15"/>
      <c r="J133" s="15"/>
      <c r="K133" s="15"/>
      <c r="L133" s="15"/>
      <c r="M133" s="15"/>
      <c r="N133" s="15"/>
      <c r="O133" s="15"/>
      <c r="P133" s="15"/>
      <c r="Q133" s="15"/>
      <c r="R133" s="15"/>
      <c r="S133" s="15"/>
      <c r="T133" s="15"/>
      <c r="U133" s="15"/>
      <c r="V133" s="15"/>
      <c r="W133" s="15"/>
      <c r="X133" s="15"/>
      <c r="Y133" s="15"/>
      <c r="Z133" s="15"/>
      <c r="AA133" s="15"/>
      <c r="AB133" s="15"/>
      <c r="AC133" s="15"/>
      <c r="AD133" s="15"/>
      <c r="AE133" s="15"/>
      <c r="AF133" s="15"/>
    </row>
    <row r="134" spans="5:32" x14ac:dyDescent="0.25">
      <c r="E134" s="15"/>
      <c r="F134" s="15"/>
      <c r="G134" s="15"/>
      <c r="H134" s="15"/>
      <c r="I134" s="15"/>
      <c r="J134" s="15"/>
      <c r="K134" s="15"/>
      <c r="L134" s="15"/>
      <c r="M134" s="15"/>
      <c r="N134" s="15"/>
      <c r="O134" s="15"/>
      <c r="P134" s="15"/>
      <c r="Q134" s="15"/>
      <c r="R134" s="15"/>
      <c r="S134" s="15"/>
      <c r="T134" s="15"/>
      <c r="U134" s="15"/>
      <c r="V134" s="15"/>
      <c r="W134" s="15"/>
      <c r="X134" s="15"/>
      <c r="Y134" s="15"/>
      <c r="Z134" s="15"/>
      <c r="AA134" s="15"/>
      <c r="AB134" s="15"/>
      <c r="AC134" s="15"/>
      <c r="AD134" s="15"/>
      <c r="AE134" s="15"/>
      <c r="AF134" s="15"/>
    </row>
    <row r="135" spans="5:32" x14ac:dyDescent="0.25">
      <c r="E135" s="15"/>
      <c r="F135" s="15"/>
      <c r="G135" s="15"/>
      <c r="H135" s="15"/>
      <c r="I135" s="15"/>
      <c r="J135" s="15"/>
      <c r="K135" s="15"/>
      <c r="L135" s="15"/>
      <c r="M135" s="15"/>
      <c r="N135" s="15"/>
      <c r="O135" s="15"/>
      <c r="P135" s="15"/>
      <c r="Q135" s="15"/>
      <c r="R135" s="15"/>
      <c r="S135" s="15"/>
      <c r="T135" s="15"/>
      <c r="U135" s="15"/>
      <c r="V135" s="15"/>
      <c r="W135" s="15"/>
      <c r="X135" s="15"/>
      <c r="Y135" s="15"/>
      <c r="Z135" s="15"/>
      <c r="AA135" s="15"/>
      <c r="AB135" s="15"/>
      <c r="AC135" s="15"/>
      <c r="AD135" s="15"/>
      <c r="AE135" s="15"/>
      <c r="AF135" s="15"/>
    </row>
    <row r="136" spans="5:32" x14ac:dyDescent="0.25">
      <c r="E136" s="15"/>
      <c r="F136" s="15"/>
      <c r="G136" s="15"/>
      <c r="H136" s="15"/>
      <c r="I136" s="15"/>
      <c r="J136" s="15"/>
      <c r="K136" s="15"/>
      <c r="L136" s="15"/>
      <c r="M136" s="15"/>
      <c r="N136" s="15"/>
      <c r="O136" s="15"/>
      <c r="P136" s="15"/>
      <c r="Q136" s="15"/>
      <c r="R136" s="15"/>
      <c r="S136" s="15"/>
      <c r="T136" s="15"/>
      <c r="U136" s="15"/>
      <c r="V136" s="15"/>
      <c r="W136" s="15"/>
      <c r="X136" s="15"/>
      <c r="Y136" s="15"/>
      <c r="Z136" s="15"/>
      <c r="AA136" s="15"/>
      <c r="AB136" s="15"/>
      <c r="AC136" s="15"/>
      <c r="AD136" s="15"/>
      <c r="AE136" s="15"/>
      <c r="AF136" s="15"/>
    </row>
    <row r="137" spans="5:32" x14ac:dyDescent="0.25">
      <c r="E137" s="15"/>
      <c r="F137" s="15"/>
      <c r="G137" s="15"/>
      <c r="H137" s="15"/>
      <c r="I137" s="15"/>
      <c r="J137" s="15"/>
      <c r="K137" s="15"/>
      <c r="L137" s="15"/>
      <c r="M137" s="15"/>
      <c r="N137" s="15"/>
      <c r="O137" s="15"/>
      <c r="P137" s="15"/>
      <c r="Q137" s="15"/>
      <c r="R137" s="15"/>
      <c r="S137" s="15"/>
      <c r="T137" s="15"/>
      <c r="U137" s="15"/>
      <c r="V137" s="15"/>
      <c r="W137" s="15"/>
      <c r="X137" s="15"/>
      <c r="Y137" s="15"/>
      <c r="Z137" s="15"/>
      <c r="AA137" s="15"/>
      <c r="AB137" s="15"/>
      <c r="AC137" s="15"/>
      <c r="AD137" s="15"/>
      <c r="AE137" s="15"/>
      <c r="AF137" s="15"/>
    </row>
    <row r="138" spans="5:32" x14ac:dyDescent="0.25">
      <c r="E138" s="15"/>
      <c r="F138" s="15"/>
      <c r="G138" s="15"/>
      <c r="H138" s="15"/>
      <c r="I138" s="15"/>
      <c r="J138" s="15"/>
      <c r="K138" s="15"/>
      <c r="L138" s="15"/>
      <c r="M138" s="15"/>
      <c r="N138" s="15"/>
      <c r="O138" s="15"/>
      <c r="P138" s="15"/>
      <c r="Q138" s="15"/>
      <c r="R138" s="15"/>
      <c r="S138" s="15"/>
      <c r="T138" s="15"/>
      <c r="U138" s="15"/>
      <c r="V138" s="15"/>
      <c r="W138" s="15"/>
      <c r="X138" s="15"/>
      <c r="Y138" s="15"/>
      <c r="Z138" s="15"/>
      <c r="AA138" s="15"/>
      <c r="AB138" s="15"/>
      <c r="AC138" s="15"/>
      <c r="AD138" s="15"/>
      <c r="AE138" s="15"/>
      <c r="AF138" s="15"/>
    </row>
    <row r="139" spans="5:32" x14ac:dyDescent="0.25">
      <c r="E139" s="15"/>
      <c r="F139" s="15"/>
      <c r="G139" s="15"/>
      <c r="H139" s="15"/>
      <c r="I139" s="15"/>
      <c r="J139" s="15"/>
      <c r="K139" s="15"/>
      <c r="L139" s="15"/>
      <c r="M139" s="15"/>
      <c r="N139" s="15"/>
      <c r="O139" s="15"/>
      <c r="P139" s="15"/>
      <c r="Q139" s="15"/>
      <c r="R139" s="15"/>
      <c r="S139" s="15"/>
      <c r="T139" s="15"/>
      <c r="U139" s="15"/>
      <c r="V139" s="15"/>
      <c r="W139" s="15"/>
      <c r="X139" s="15"/>
      <c r="Y139" s="15"/>
      <c r="Z139" s="15"/>
      <c r="AA139" s="15"/>
      <c r="AB139" s="15"/>
      <c r="AC139" s="15"/>
      <c r="AD139" s="15"/>
      <c r="AE139" s="15"/>
      <c r="AF139" s="15"/>
    </row>
    <row r="140" spans="5:32" x14ac:dyDescent="0.25">
      <c r="E140" s="15"/>
      <c r="F140" s="15"/>
      <c r="G140" s="15"/>
      <c r="H140" s="15"/>
      <c r="I140" s="15"/>
      <c r="J140" s="15"/>
      <c r="K140" s="15"/>
      <c r="L140" s="15"/>
      <c r="M140" s="15"/>
      <c r="N140" s="15"/>
      <c r="O140" s="15"/>
      <c r="P140" s="15"/>
      <c r="Q140" s="15"/>
      <c r="R140" s="15"/>
      <c r="S140" s="15"/>
      <c r="T140" s="15"/>
      <c r="U140" s="15"/>
      <c r="V140" s="15"/>
      <c r="W140" s="15"/>
      <c r="X140" s="15"/>
      <c r="Y140" s="15"/>
      <c r="Z140" s="15"/>
      <c r="AA140" s="15"/>
      <c r="AB140" s="15"/>
      <c r="AC140" s="15"/>
      <c r="AD140" s="15"/>
      <c r="AE140" s="15"/>
      <c r="AF140" s="15"/>
    </row>
    <row r="141" spans="5:32" x14ac:dyDescent="0.25">
      <c r="E141" s="15"/>
      <c r="F141" s="15"/>
      <c r="G141" s="15"/>
      <c r="H141" s="15"/>
      <c r="I141" s="15"/>
      <c r="J141" s="15"/>
      <c r="K141" s="15"/>
      <c r="L141" s="15"/>
      <c r="M141" s="15"/>
      <c r="N141" s="15"/>
      <c r="O141" s="15"/>
      <c r="P141" s="15"/>
      <c r="Q141" s="15"/>
      <c r="R141" s="15"/>
      <c r="S141" s="15"/>
      <c r="T141" s="15"/>
      <c r="U141" s="15"/>
      <c r="V141" s="15"/>
      <c r="W141" s="15"/>
      <c r="X141" s="15"/>
      <c r="Y141" s="15"/>
      <c r="Z141" s="15"/>
      <c r="AA141" s="15"/>
      <c r="AB141" s="15"/>
      <c r="AC141" s="15"/>
      <c r="AD141" s="15"/>
      <c r="AE141" s="15"/>
      <c r="AF141" s="15"/>
    </row>
    <row r="142" spans="5:32" x14ac:dyDescent="0.25">
      <c r="E142" s="15"/>
      <c r="F142" s="15"/>
      <c r="G142" s="15"/>
      <c r="H142" s="15"/>
      <c r="I142" s="15"/>
      <c r="J142" s="15"/>
      <c r="K142" s="15"/>
      <c r="L142" s="15"/>
      <c r="M142" s="15"/>
      <c r="N142" s="15"/>
      <c r="O142" s="15"/>
      <c r="P142" s="15"/>
      <c r="Q142" s="15"/>
      <c r="R142" s="15"/>
      <c r="S142" s="15"/>
      <c r="T142" s="15"/>
      <c r="U142" s="15"/>
      <c r="V142" s="15"/>
      <c r="W142" s="15"/>
      <c r="X142" s="15"/>
      <c r="Y142" s="15"/>
      <c r="Z142" s="15"/>
      <c r="AA142" s="15"/>
      <c r="AB142" s="15"/>
      <c r="AC142" s="15"/>
      <c r="AD142" s="15"/>
      <c r="AE142" s="15"/>
      <c r="AF142" s="15"/>
    </row>
    <row r="143" spans="5:32" x14ac:dyDescent="0.25">
      <c r="E143" s="15"/>
      <c r="F143" s="15"/>
      <c r="G143" s="15"/>
      <c r="H143" s="15"/>
      <c r="I143" s="15"/>
      <c r="J143" s="15"/>
      <c r="K143" s="15"/>
      <c r="L143" s="15"/>
      <c r="M143" s="15"/>
      <c r="N143" s="15"/>
      <c r="O143" s="15"/>
      <c r="P143" s="15"/>
      <c r="Q143" s="15"/>
      <c r="R143" s="15"/>
      <c r="S143" s="15"/>
      <c r="T143" s="15"/>
      <c r="U143" s="15"/>
      <c r="V143" s="15"/>
      <c r="W143" s="15"/>
      <c r="X143" s="15"/>
      <c r="Y143" s="15"/>
      <c r="Z143" s="15"/>
      <c r="AA143" s="15"/>
      <c r="AB143" s="15"/>
      <c r="AC143" s="15"/>
      <c r="AD143" s="15"/>
      <c r="AE143" s="15"/>
      <c r="AF143" s="15"/>
    </row>
    <row r="144" spans="5:32" x14ac:dyDescent="0.25">
      <c r="E144" s="15"/>
      <c r="F144" s="15"/>
      <c r="G144" s="15"/>
      <c r="H144" s="15"/>
      <c r="I144" s="15"/>
      <c r="J144" s="15"/>
      <c r="K144" s="15"/>
      <c r="L144" s="15"/>
      <c r="M144" s="15"/>
      <c r="N144" s="15"/>
      <c r="O144" s="15"/>
      <c r="P144" s="15"/>
      <c r="Q144" s="15"/>
      <c r="R144" s="15"/>
      <c r="S144" s="15"/>
      <c r="T144" s="15"/>
      <c r="U144" s="15"/>
      <c r="V144" s="15"/>
      <c r="W144" s="15"/>
      <c r="X144" s="15"/>
      <c r="Y144" s="15"/>
      <c r="Z144" s="15"/>
      <c r="AA144" s="15"/>
      <c r="AB144" s="15"/>
      <c r="AC144" s="15"/>
      <c r="AD144" s="15"/>
      <c r="AE144" s="15"/>
      <c r="AF144" s="15"/>
    </row>
    <row r="145" spans="5:32" x14ac:dyDescent="0.25">
      <c r="E145" s="15"/>
      <c r="F145" s="15"/>
      <c r="G145" s="15"/>
      <c r="H145" s="15"/>
      <c r="I145" s="15"/>
      <c r="J145" s="15"/>
      <c r="K145" s="15"/>
      <c r="L145" s="15"/>
      <c r="M145" s="15"/>
      <c r="N145" s="15"/>
      <c r="O145" s="15"/>
      <c r="P145" s="15"/>
      <c r="Q145" s="15"/>
      <c r="R145" s="15"/>
      <c r="S145" s="15"/>
      <c r="T145" s="15"/>
      <c r="U145" s="15"/>
      <c r="V145" s="15"/>
      <c r="W145" s="15"/>
      <c r="X145" s="15"/>
      <c r="Y145" s="15"/>
      <c r="Z145" s="15"/>
      <c r="AA145" s="15"/>
      <c r="AB145" s="15"/>
      <c r="AC145" s="15"/>
      <c r="AD145" s="15"/>
      <c r="AE145" s="15"/>
      <c r="AF145" s="15"/>
    </row>
    <row r="146" spans="5:32" x14ac:dyDescent="0.25">
      <c r="E146" s="15"/>
      <c r="F146" s="15"/>
      <c r="G146" s="15"/>
      <c r="H146" s="15"/>
      <c r="I146" s="15"/>
      <c r="J146" s="15"/>
      <c r="K146" s="15"/>
      <c r="L146" s="15"/>
      <c r="M146" s="15"/>
      <c r="N146" s="15"/>
      <c r="O146" s="15"/>
      <c r="P146" s="15"/>
      <c r="Q146" s="15"/>
      <c r="R146" s="15"/>
      <c r="S146" s="15"/>
      <c r="T146" s="15"/>
      <c r="U146" s="15"/>
      <c r="V146" s="15"/>
      <c r="W146" s="15"/>
      <c r="X146" s="15"/>
      <c r="Y146" s="15"/>
      <c r="Z146" s="15"/>
      <c r="AA146" s="15"/>
      <c r="AB146" s="15"/>
      <c r="AC146" s="15"/>
      <c r="AD146" s="15"/>
      <c r="AE146" s="15"/>
      <c r="AF146" s="15"/>
    </row>
    <row r="147" spans="5:32" x14ac:dyDescent="0.25">
      <c r="E147" s="15"/>
      <c r="F147" s="15"/>
      <c r="G147" s="15"/>
      <c r="H147" s="15"/>
      <c r="I147" s="15"/>
      <c r="J147" s="15"/>
      <c r="K147" s="15"/>
      <c r="L147" s="15"/>
      <c r="M147" s="15"/>
      <c r="N147" s="15"/>
      <c r="O147" s="15"/>
      <c r="P147" s="15"/>
      <c r="Q147" s="15"/>
      <c r="R147" s="15"/>
      <c r="S147" s="15"/>
      <c r="T147" s="15"/>
      <c r="U147" s="15"/>
      <c r="V147" s="15"/>
      <c r="W147" s="15"/>
      <c r="X147" s="15"/>
      <c r="Y147" s="15"/>
      <c r="Z147" s="15"/>
      <c r="AA147" s="15"/>
      <c r="AB147" s="15"/>
      <c r="AC147" s="15"/>
      <c r="AD147" s="15"/>
      <c r="AE147" s="15"/>
      <c r="AF147" s="15"/>
    </row>
    <row r="148" spans="5:32" x14ac:dyDescent="0.25">
      <c r="E148" s="15"/>
      <c r="F148" s="15"/>
      <c r="G148" s="15"/>
      <c r="H148" s="15"/>
      <c r="I148" s="15"/>
      <c r="J148" s="15"/>
      <c r="K148" s="15"/>
      <c r="L148" s="15"/>
      <c r="M148" s="15"/>
      <c r="N148" s="15"/>
      <c r="O148" s="15"/>
      <c r="P148" s="15"/>
      <c r="Q148" s="15"/>
      <c r="R148" s="15"/>
      <c r="S148" s="15"/>
      <c r="T148" s="15"/>
      <c r="U148" s="15"/>
      <c r="V148" s="15"/>
      <c r="W148" s="15"/>
      <c r="X148" s="15"/>
      <c r="Y148" s="15"/>
      <c r="Z148" s="15"/>
      <c r="AA148" s="15"/>
      <c r="AB148" s="15"/>
      <c r="AC148" s="15"/>
      <c r="AD148" s="15"/>
      <c r="AE148" s="15"/>
      <c r="AF148" s="15"/>
    </row>
    <row r="149" spans="5:32" x14ac:dyDescent="0.25">
      <c r="E149" s="15"/>
      <c r="F149" s="15"/>
      <c r="G149" s="15"/>
      <c r="H149" s="15"/>
      <c r="I149" s="15"/>
      <c r="J149" s="15"/>
      <c r="K149" s="15"/>
      <c r="L149" s="15"/>
      <c r="M149" s="15"/>
      <c r="N149" s="15"/>
      <c r="O149" s="15"/>
      <c r="P149" s="15"/>
      <c r="Q149" s="15"/>
      <c r="R149" s="15"/>
      <c r="S149" s="15"/>
      <c r="T149" s="15"/>
      <c r="U149" s="15"/>
      <c r="V149" s="15"/>
      <c r="W149" s="15"/>
      <c r="X149" s="15"/>
      <c r="Y149" s="15"/>
      <c r="Z149" s="15"/>
      <c r="AA149" s="15"/>
      <c r="AB149" s="15"/>
      <c r="AC149" s="15"/>
      <c r="AD149" s="15"/>
      <c r="AE149" s="15"/>
      <c r="AF149" s="15"/>
    </row>
    <row r="150" spans="5:32" x14ac:dyDescent="0.25">
      <c r="E150" s="15"/>
      <c r="F150" s="15"/>
      <c r="G150" s="15"/>
      <c r="H150" s="15"/>
      <c r="I150" s="15"/>
      <c r="J150" s="15"/>
      <c r="K150" s="15"/>
      <c r="L150" s="15"/>
      <c r="M150" s="15"/>
      <c r="N150" s="15"/>
      <c r="O150" s="15"/>
      <c r="P150" s="15"/>
      <c r="Q150" s="15"/>
      <c r="R150" s="15"/>
      <c r="S150" s="15"/>
      <c r="T150" s="15"/>
      <c r="U150" s="15"/>
      <c r="V150" s="15"/>
      <c r="W150" s="15"/>
      <c r="X150" s="15"/>
      <c r="Y150" s="15"/>
      <c r="Z150" s="15"/>
      <c r="AA150" s="15"/>
      <c r="AB150" s="15"/>
      <c r="AC150" s="15"/>
      <c r="AD150" s="15"/>
      <c r="AE150" s="15"/>
      <c r="AF150" s="15"/>
    </row>
    <row r="151" spans="5:32" x14ac:dyDescent="0.25">
      <c r="E151" s="15"/>
      <c r="F151" s="15"/>
      <c r="G151" s="15"/>
      <c r="H151" s="15"/>
      <c r="I151" s="15"/>
      <c r="J151" s="15"/>
      <c r="K151" s="15"/>
      <c r="L151" s="15"/>
      <c r="M151" s="15"/>
      <c r="N151" s="15"/>
      <c r="O151" s="15"/>
      <c r="P151" s="15"/>
      <c r="Q151" s="15"/>
      <c r="R151" s="15"/>
      <c r="S151" s="15"/>
      <c r="T151" s="15"/>
      <c r="U151" s="15"/>
      <c r="V151" s="15"/>
      <c r="W151" s="15"/>
      <c r="X151" s="15"/>
      <c r="Y151" s="15"/>
      <c r="Z151" s="15"/>
      <c r="AA151" s="15"/>
      <c r="AB151" s="15"/>
      <c r="AC151" s="15"/>
      <c r="AD151" s="15"/>
      <c r="AE151" s="15"/>
      <c r="AF151" s="15"/>
    </row>
    <row r="152" spans="5:32" x14ac:dyDescent="0.25">
      <c r="E152" s="15"/>
      <c r="F152" s="15"/>
      <c r="G152" s="15"/>
      <c r="H152" s="15"/>
      <c r="I152" s="15"/>
      <c r="J152" s="15"/>
      <c r="K152" s="15"/>
      <c r="L152" s="15"/>
      <c r="M152" s="15"/>
      <c r="N152" s="15"/>
      <c r="O152" s="15"/>
      <c r="P152" s="15"/>
      <c r="Q152" s="15"/>
      <c r="R152" s="15"/>
      <c r="S152" s="15"/>
      <c r="T152" s="15"/>
      <c r="U152" s="15"/>
      <c r="V152" s="15"/>
      <c r="W152" s="15"/>
      <c r="X152" s="15"/>
      <c r="Y152" s="15"/>
      <c r="Z152" s="15"/>
      <c r="AA152" s="15"/>
      <c r="AB152" s="15"/>
      <c r="AC152" s="15"/>
      <c r="AD152" s="15"/>
      <c r="AE152" s="15"/>
      <c r="AF152" s="15"/>
    </row>
    <row r="153" spans="5:32" x14ac:dyDescent="0.25">
      <c r="E153" s="15"/>
      <c r="F153" s="15"/>
      <c r="G153" s="15"/>
      <c r="H153" s="15"/>
      <c r="I153" s="15"/>
      <c r="J153" s="15"/>
      <c r="K153" s="15"/>
      <c r="L153" s="15"/>
      <c r="M153" s="15"/>
      <c r="N153" s="15"/>
      <c r="O153" s="15"/>
      <c r="P153" s="15"/>
      <c r="Q153" s="15"/>
      <c r="R153" s="15"/>
      <c r="S153" s="15"/>
      <c r="T153" s="15"/>
      <c r="U153" s="15"/>
      <c r="V153" s="15"/>
      <c r="W153" s="15"/>
      <c r="X153" s="15"/>
      <c r="Y153" s="15"/>
      <c r="Z153" s="15"/>
      <c r="AA153" s="15"/>
      <c r="AB153" s="15"/>
      <c r="AC153" s="15"/>
      <c r="AD153" s="15"/>
      <c r="AE153" s="15"/>
      <c r="AF153" s="15"/>
    </row>
    <row r="154" spans="5:32" x14ac:dyDescent="0.25">
      <c r="E154" s="15"/>
      <c r="F154" s="15"/>
      <c r="G154" s="15"/>
      <c r="H154" s="15"/>
      <c r="I154" s="15"/>
      <c r="J154" s="15"/>
      <c r="K154" s="15"/>
      <c r="L154" s="15"/>
      <c r="M154" s="15"/>
      <c r="N154" s="15"/>
      <c r="O154" s="15"/>
      <c r="P154" s="15"/>
      <c r="Q154" s="15"/>
      <c r="R154" s="15"/>
      <c r="S154" s="15"/>
      <c r="T154" s="15"/>
      <c r="U154" s="15"/>
      <c r="V154" s="15"/>
      <c r="W154" s="15"/>
      <c r="X154" s="15"/>
      <c r="Y154" s="15"/>
      <c r="Z154" s="15"/>
      <c r="AA154" s="15"/>
      <c r="AB154" s="15"/>
      <c r="AC154" s="15"/>
      <c r="AD154" s="15"/>
      <c r="AE154" s="15"/>
      <c r="AF154" s="15"/>
    </row>
    <row r="155" spans="5:32" x14ac:dyDescent="0.25">
      <c r="E155" s="15"/>
      <c r="F155" s="15"/>
      <c r="G155" s="15"/>
      <c r="H155" s="15"/>
      <c r="I155" s="15"/>
      <c r="J155" s="15"/>
      <c r="K155" s="15"/>
      <c r="L155" s="15"/>
      <c r="M155" s="15"/>
      <c r="N155" s="15"/>
      <c r="O155" s="15"/>
      <c r="P155" s="15"/>
      <c r="Q155" s="15"/>
      <c r="R155" s="15"/>
      <c r="S155" s="15"/>
      <c r="T155" s="15"/>
      <c r="U155" s="15"/>
      <c r="V155" s="15"/>
      <c r="W155" s="15"/>
      <c r="X155" s="15"/>
      <c r="Y155" s="15"/>
      <c r="Z155" s="15"/>
      <c r="AA155" s="15"/>
      <c r="AB155" s="15"/>
      <c r="AC155" s="15"/>
      <c r="AD155" s="15"/>
      <c r="AE155" s="15"/>
      <c r="AF155" s="15"/>
    </row>
    <row r="156" spans="5:32" x14ac:dyDescent="0.25">
      <c r="E156" s="15"/>
      <c r="F156" s="15"/>
      <c r="G156" s="15"/>
      <c r="H156" s="15"/>
      <c r="I156" s="15"/>
      <c r="J156" s="15"/>
      <c r="K156" s="15"/>
      <c r="L156" s="15"/>
      <c r="M156" s="15"/>
      <c r="N156" s="15"/>
      <c r="O156" s="15"/>
      <c r="P156" s="15"/>
      <c r="Q156" s="15"/>
      <c r="R156" s="15"/>
      <c r="S156" s="15"/>
      <c r="T156" s="15"/>
      <c r="U156" s="15"/>
      <c r="V156" s="15"/>
      <c r="W156" s="15"/>
      <c r="X156" s="15"/>
      <c r="Y156" s="15"/>
      <c r="Z156" s="15"/>
      <c r="AA156" s="15"/>
      <c r="AB156" s="15"/>
      <c r="AC156" s="15"/>
      <c r="AD156" s="15"/>
      <c r="AE156" s="15"/>
      <c r="AF156" s="15"/>
    </row>
    <row r="157" spans="5:32" x14ac:dyDescent="0.25">
      <c r="E157" s="15"/>
      <c r="F157" s="15"/>
      <c r="G157" s="15"/>
      <c r="H157" s="15"/>
      <c r="I157" s="15"/>
      <c r="J157" s="15"/>
      <c r="K157" s="15"/>
      <c r="L157" s="15"/>
      <c r="M157" s="15"/>
      <c r="N157" s="15"/>
      <c r="O157" s="15"/>
      <c r="P157" s="15"/>
      <c r="Q157" s="15"/>
      <c r="R157" s="15"/>
      <c r="S157" s="15"/>
      <c r="T157" s="15"/>
      <c r="U157" s="15"/>
      <c r="V157" s="15"/>
      <c r="W157" s="15"/>
      <c r="X157" s="15"/>
      <c r="Y157" s="15"/>
      <c r="Z157" s="15"/>
      <c r="AA157" s="15"/>
      <c r="AB157" s="15"/>
      <c r="AC157" s="15"/>
      <c r="AD157" s="15"/>
      <c r="AE157" s="15"/>
      <c r="AF157" s="15"/>
    </row>
    <row r="158" spans="5:32" x14ac:dyDescent="0.25">
      <c r="E158" s="15"/>
      <c r="F158" s="15"/>
      <c r="G158" s="15"/>
      <c r="H158" s="15"/>
      <c r="I158" s="15"/>
      <c r="J158" s="15"/>
      <c r="K158" s="15"/>
      <c r="L158" s="15"/>
      <c r="M158" s="15"/>
      <c r="N158" s="15"/>
      <c r="O158" s="15"/>
      <c r="P158" s="15"/>
      <c r="Q158" s="15"/>
      <c r="R158" s="15"/>
      <c r="S158" s="15"/>
      <c r="T158" s="15"/>
      <c r="U158" s="15"/>
      <c r="V158" s="15"/>
      <c r="W158" s="15"/>
      <c r="X158" s="15"/>
      <c r="Y158" s="15"/>
      <c r="Z158" s="15"/>
      <c r="AA158" s="15"/>
      <c r="AB158" s="15"/>
      <c r="AC158" s="15"/>
      <c r="AD158" s="15"/>
      <c r="AE158" s="15"/>
      <c r="AF158" s="15"/>
    </row>
    <row r="159" spans="5:32" x14ac:dyDescent="0.25">
      <c r="E159" s="15"/>
      <c r="F159" s="15"/>
      <c r="G159" s="15"/>
      <c r="H159" s="15"/>
      <c r="I159" s="15"/>
      <c r="J159" s="15"/>
      <c r="K159" s="15"/>
      <c r="L159" s="15"/>
      <c r="M159" s="15"/>
      <c r="N159" s="15"/>
      <c r="O159" s="15"/>
      <c r="P159" s="15"/>
      <c r="Q159" s="15"/>
      <c r="R159" s="15"/>
      <c r="S159" s="15"/>
      <c r="T159" s="15"/>
      <c r="U159" s="15"/>
      <c r="V159" s="15"/>
      <c r="W159" s="15"/>
      <c r="X159" s="15"/>
      <c r="Y159" s="15"/>
      <c r="Z159" s="15"/>
      <c r="AA159" s="15"/>
      <c r="AB159" s="15"/>
      <c r="AC159" s="15"/>
      <c r="AD159" s="15"/>
      <c r="AE159" s="15"/>
      <c r="AF159" s="15"/>
    </row>
    <row r="160" spans="5:32" x14ac:dyDescent="0.25">
      <c r="E160" s="15"/>
      <c r="F160" s="15"/>
      <c r="G160" s="15"/>
      <c r="H160" s="15"/>
      <c r="I160" s="15"/>
      <c r="J160" s="15"/>
      <c r="K160" s="15"/>
      <c r="L160" s="15"/>
      <c r="M160" s="15"/>
      <c r="N160" s="15"/>
      <c r="O160" s="15"/>
      <c r="P160" s="15"/>
      <c r="Q160" s="15"/>
      <c r="R160" s="15"/>
      <c r="S160" s="15"/>
      <c r="T160" s="15"/>
      <c r="U160" s="15"/>
      <c r="V160" s="15"/>
      <c r="W160" s="15"/>
      <c r="X160" s="15"/>
      <c r="Y160" s="15"/>
      <c r="Z160" s="15"/>
      <c r="AA160" s="15"/>
      <c r="AB160" s="15"/>
      <c r="AC160" s="15"/>
      <c r="AD160" s="15"/>
      <c r="AE160" s="15"/>
      <c r="AF160" s="15"/>
    </row>
    <row r="161" spans="5:32" x14ac:dyDescent="0.25">
      <c r="E161" s="15"/>
      <c r="F161" s="15"/>
      <c r="G161" s="15"/>
      <c r="H161" s="15"/>
      <c r="I161" s="15"/>
      <c r="J161" s="15"/>
      <c r="K161" s="15"/>
      <c r="L161" s="15"/>
      <c r="M161" s="15"/>
      <c r="N161" s="15"/>
      <c r="O161" s="15"/>
      <c r="P161" s="15"/>
      <c r="Q161" s="15"/>
      <c r="R161" s="15"/>
      <c r="S161" s="15"/>
      <c r="T161" s="15"/>
      <c r="U161" s="15"/>
      <c r="V161" s="15"/>
      <c r="W161" s="15"/>
      <c r="X161" s="15"/>
      <c r="Y161" s="15"/>
      <c r="Z161" s="15"/>
      <c r="AA161" s="15"/>
      <c r="AB161" s="15"/>
      <c r="AC161" s="15"/>
      <c r="AD161" s="15"/>
      <c r="AE161" s="15"/>
      <c r="AF161" s="15"/>
    </row>
    <row r="162" spans="5:32" x14ac:dyDescent="0.25">
      <c r="E162" s="15"/>
      <c r="F162" s="15"/>
      <c r="G162" s="15"/>
      <c r="H162" s="15"/>
      <c r="I162" s="15"/>
      <c r="J162" s="15"/>
      <c r="K162" s="15"/>
      <c r="L162" s="15"/>
      <c r="M162" s="15"/>
      <c r="N162" s="15"/>
      <c r="O162" s="15"/>
      <c r="P162" s="15"/>
      <c r="Q162" s="15"/>
      <c r="R162" s="15"/>
      <c r="S162" s="15"/>
      <c r="T162" s="15"/>
      <c r="U162" s="15"/>
      <c r="V162" s="15"/>
      <c r="W162" s="15"/>
      <c r="X162" s="15"/>
      <c r="Y162" s="15"/>
      <c r="Z162" s="15"/>
      <c r="AA162" s="15"/>
      <c r="AB162" s="15"/>
      <c r="AC162" s="15"/>
      <c r="AD162" s="15"/>
      <c r="AE162" s="15"/>
      <c r="AF162" s="15"/>
    </row>
    <row r="163" spans="5:32" x14ac:dyDescent="0.25">
      <c r="E163" s="15"/>
      <c r="F163" s="15"/>
      <c r="G163" s="15"/>
      <c r="H163" s="15"/>
      <c r="I163" s="15"/>
      <c r="J163" s="15"/>
      <c r="K163" s="15"/>
      <c r="L163" s="15"/>
      <c r="M163" s="15"/>
      <c r="N163" s="15"/>
      <c r="O163" s="15"/>
      <c r="P163" s="15"/>
      <c r="Q163" s="15"/>
      <c r="R163" s="15"/>
      <c r="S163" s="15"/>
      <c r="T163" s="15"/>
      <c r="U163" s="15"/>
      <c r="V163" s="15"/>
      <c r="W163" s="15"/>
      <c r="X163" s="15"/>
      <c r="Y163" s="15"/>
      <c r="Z163" s="15"/>
      <c r="AA163" s="15"/>
      <c r="AB163" s="15"/>
      <c r="AC163" s="15"/>
      <c r="AD163" s="15"/>
      <c r="AE163" s="15"/>
      <c r="AF163" s="15"/>
    </row>
    <row r="164" spans="5:32" x14ac:dyDescent="0.25">
      <c r="E164" s="15"/>
      <c r="F164" s="15"/>
      <c r="G164" s="15"/>
      <c r="H164" s="15"/>
      <c r="I164" s="15"/>
      <c r="J164" s="15"/>
      <c r="K164" s="15"/>
      <c r="L164" s="15"/>
      <c r="M164" s="15"/>
      <c r="N164" s="15"/>
      <c r="O164" s="15"/>
      <c r="P164" s="15"/>
      <c r="Q164" s="15"/>
      <c r="R164" s="15"/>
      <c r="S164" s="15"/>
      <c r="T164" s="15"/>
      <c r="U164" s="15"/>
      <c r="V164" s="15"/>
      <c r="W164" s="15"/>
      <c r="X164" s="15"/>
      <c r="Y164" s="15"/>
      <c r="Z164" s="15"/>
      <c r="AA164" s="15"/>
      <c r="AB164" s="15"/>
      <c r="AC164" s="15"/>
      <c r="AD164" s="15"/>
      <c r="AE164" s="15"/>
      <c r="AF164" s="15"/>
    </row>
    <row r="165" spans="5:32" x14ac:dyDescent="0.25">
      <c r="E165" s="15"/>
      <c r="F165" s="15"/>
      <c r="G165" s="15"/>
      <c r="H165" s="15"/>
      <c r="I165" s="15"/>
      <c r="J165" s="15"/>
      <c r="K165" s="15"/>
      <c r="L165" s="15"/>
      <c r="M165" s="15"/>
      <c r="N165" s="15"/>
      <c r="O165" s="15"/>
      <c r="P165" s="15"/>
      <c r="Q165" s="15"/>
      <c r="R165" s="15"/>
      <c r="S165" s="15"/>
      <c r="T165" s="15"/>
      <c r="U165" s="15"/>
      <c r="V165" s="15"/>
      <c r="W165" s="15"/>
      <c r="X165" s="15"/>
      <c r="Y165" s="15"/>
      <c r="Z165" s="15"/>
      <c r="AA165" s="15"/>
      <c r="AB165" s="15"/>
      <c r="AC165" s="15"/>
      <c r="AD165" s="15"/>
      <c r="AE165" s="15"/>
      <c r="AF165" s="15"/>
    </row>
    <row r="166" spans="5:32" x14ac:dyDescent="0.25">
      <c r="E166" s="15"/>
      <c r="F166" s="15"/>
      <c r="G166" s="15"/>
      <c r="H166" s="15"/>
      <c r="I166" s="15"/>
      <c r="J166" s="15"/>
      <c r="K166" s="15"/>
      <c r="L166" s="15"/>
      <c r="M166" s="15"/>
      <c r="N166" s="15"/>
      <c r="O166" s="15"/>
      <c r="P166" s="15"/>
      <c r="Q166" s="15"/>
      <c r="R166" s="15"/>
      <c r="S166" s="15"/>
      <c r="T166" s="15"/>
      <c r="U166" s="15"/>
      <c r="V166" s="15"/>
      <c r="W166" s="15"/>
      <c r="X166" s="15"/>
      <c r="Y166" s="15"/>
      <c r="Z166" s="15"/>
      <c r="AA166" s="15"/>
      <c r="AB166" s="15"/>
      <c r="AC166" s="15"/>
      <c r="AD166" s="15"/>
      <c r="AE166" s="15"/>
      <c r="AF166" s="15"/>
    </row>
    <row r="167" spans="5:32" x14ac:dyDescent="0.25">
      <c r="E167" s="15"/>
      <c r="F167" s="15"/>
      <c r="G167" s="15"/>
      <c r="H167" s="15"/>
      <c r="I167" s="15"/>
      <c r="J167" s="15"/>
      <c r="K167" s="15"/>
      <c r="L167" s="15"/>
      <c r="M167" s="15"/>
      <c r="N167" s="15"/>
      <c r="O167" s="15"/>
      <c r="P167" s="15"/>
      <c r="Q167" s="15"/>
      <c r="R167" s="15"/>
      <c r="S167" s="15"/>
      <c r="T167" s="15"/>
      <c r="U167" s="15"/>
      <c r="V167" s="15"/>
      <c r="W167" s="15"/>
      <c r="X167" s="15"/>
      <c r="Y167" s="15"/>
      <c r="Z167" s="15"/>
      <c r="AA167" s="15"/>
      <c r="AB167" s="15"/>
      <c r="AC167" s="15"/>
      <c r="AD167" s="15"/>
      <c r="AE167" s="15"/>
      <c r="AF167" s="15"/>
    </row>
    <row r="168" spans="5:32" x14ac:dyDescent="0.25">
      <c r="E168" s="15"/>
      <c r="F168" s="15"/>
      <c r="G168" s="15"/>
      <c r="H168" s="15"/>
      <c r="I168" s="15"/>
      <c r="J168" s="15"/>
      <c r="K168" s="15"/>
      <c r="L168" s="15"/>
      <c r="M168" s="15"/>
      <c r="N168" s="15"/>
      <c r="O168" s="15"/>
      <c r="P168" s="15"/>
      <c r="Q168" s="15"/>
      <c r="R168" s="15"/>
      <c r="S168" s="15"/>
      <c r="T168" s="15"/>
      <c r="U168" s="15"/>
      <c r="V168" s="15"/>
      <c r="W168" s="15"/>
      <c r="X168" s="15"/>
      <c r="Y168" s="15"/>
      <c r="Z168" s="15"/>
      <c r="AA168" s="15"/>
      <c r="AB168" s="15"/>
      <c r="AC168" s="15"/>
      <c r="AD168" s="15"/>
      <c r="AE168" s="15"/>
      <c r="AF168" s="15"/>
    </row>
    <row r="169" spans="5:32" x14ac:dyDescent="0.25">
      <c r="E169" s="15"/>
      <c r="F169" s="15"/>
      <c r="G169" s="15"/>
      <c r="H169" s="15"/>
      <c r="I169" s="15"/>
      <c r="J169" s="15"/>
      <c r="K169" s="15"/>
      <c r="L169" s="15"/>
      <c r="M169" s="15"/>
      <c r="N169" s="15"/>
      <c r="O169" s="15"/>
      <c r="P169" s="15"/>
      <c r="Q169" s="15"/>
      <c r="R169" s="15"/>
      <c r="S169" s="15"/>
      <c r="T169" s="15"/>
      <c r="U169" s="15"/>
      <c r="V169" s="15"/>
      <c r="W169" s="15"/>
      <c r="X169" s="15"/>
      <c r="Y169" s="15"/>
      <c r="Z169" s="15"/>
      <c r="AA169" s="15"/>
      <c r="AB169" s="15"/>
      <c r="AC169" s="15"/>
      <c r="AD169" s="15"/>
      <c r="AE169" s="15"/>
      <c r="AF169" s="15"/>
    </row>
    <row r="170" spans="5:32" x14ac:dyDescent="0.25">
      <c r="E170" s="15"/>
      <c r="F170" s="15"/>
      <c r="G170" s="15"/>
      <c r="H170" s="15"/>
      <c r="I170" s="15"/>
      <c r="J170" s="15"/>
      <c r="K170" s="15"/>
      <c r="L170" s="15"/>
      <c r="M170" s="15"/>
      <c r="N170" s="15"/>
      <c r="O170" s="15"/>
      <c r="P170" s="15"/>
      <c r="Q170" s="15"/>
      <c r="R170" s="15"/>
      <c r="S170" s="15"/>
      <c r="T170" s="15"/>
      <c r="U170" s="15"/>
      <c r="V170" s="15"/>
      <c r="W170" s="15"/>
      <c r="X170" s="15"/>
      <c r="Y170" s="15"/>
      <c r="Z170" s="15"/>
      <c r="AA170" s="15"/>
      <c r="AB170" s="15"/>
      <c r="AC170" s="15"/>
      <c r="AD170" s="15"/>
      <c r="AE170" s="15"/>
      <c r="AF170" s="15"/>
    </row>
    <row r="171" spans="5:32" x14ac:dyDescent="0.25">
      <c r="E171" s="15"/>
      <c r="F171" s="15"/>
      <c r="G171" s="15"/>
      <c r="H171" s="15"/>
      <c r="I171" s="15"/>
      <c r="J171" s="15"/>
      <c r="K171" s="15"/>
      <c r="L171" s="15"/>
      <c r="M171" s="15"/>
      <c r="N171" s="15"/>
      <c r="O171" s="15"/>
      <c r="P171" s="15"/>
      <c r="Q171" s="15"/>
      <c r="R171" s="15"/>
      <c r="S171" s="15"/>
      <c r="T171" s="15"/>
      <c r="U171" s="15"/>
      <c r="V171" s="15"/>
      <c r="W171" s="15"/>
      <c r="X171" s="15"/>
      <c r="Y171" s="15"/>
      <c r="Z171" s="15"/>
      <c r="AA171" s="15"/>
      <c r="AB171" s="15"/>
      <c r="AC171" s="15"/>
      <c r="AD171" s="15"/>
      <c r="AE171" s="15"/>
      <c r="AF171" s="15"/>
    </row>
    <row r="172" spans="5:32" x14ac:dyDescent="0.25">
      <c r="E172" s="15"/>
      <c r="F172" s="15"/>
      <c r="G172" s="15"/>
      <c r="H172" s="15"/>
      <c r="I172" s="15"/>
      <c r="J172" s="15"/>
      <c r="K172" s="15"/>
      <c r="L172" s="15"/>
      <c r="M172" s="15"/>
      <c r="N172" s="15"/>
      <c r="O172" s="15"/>
      <c r="P172" s="15"/>
      <c r="Q172" s="15"/>
      <c r="R172" s="15"/>
      <c r="S172" s="15"/>
      <c r="T172" s="15"/>
      <c r="U172" s="15"/>
      <c r="V172" s="15"/>
      <c r="W172" s="15"/>
      <c r="X172" s="15"/>
      <c r="Y172" s="15"/>
      <c r="Z172" s="15"/>
      <c r="AA172" s="15"/>
      <c r="AB172" s="15"/>
      <c r="AC172" s="15"/>
      <c r="AD172" s="15"/>
      <c r="AE172" s="15"/>
      <c r="AF172" s="15"/>
    </row>
    <row r="173" spans="5:32" x14ac:dyDescent="0.25">
      <c r="E173" s="15"/>
      <c r="F173" s="15"/>
      <c r="G173" s="15"/>
      <c r="H173" s="15"/>
      <c r="I173" s="15"/>
      <c r="J173" s="15"/>
      <c r="K173" s="15"/>
      <c r="L173" s="15"/>
      <c r="M173" s="15"/>
      <c r="N173" s="15"/>
      <c r="O173" s="15"/>
      <c r="P173" s="15"/>
      <c r="Q173" s="15"/>
      <c r="R173" s="15"/>
      <c r="S173" s="15"/>
      <c r="T173" s="15"/>
      <c r="U173" s="15"/>
      <c r="V173" s="15"/>
      <c r="W173" s="15"/>
      <c r="X173" s="15"/>
      <c r="Y173" s="15"/>
      <c r="Z173" s="15"/>
      <c r="AA173" s="15"/>
      <c r="AB173" s="15"/>
      <c r="AC173" s="15"/>
      <c r="AD173" s="15"/>
      <c r="AE173" s="15"/>
      <c r="AF173" s="15"/>
    </row>
    <row r="174" spans="5:32" x14ac:dyDescent="0.25">
      <c r="E174" s="15"/>
      <c r="F174" s="15"/>
      <c r="G174" s="15"/>
      <c r="H174" s="15"/>
      <c r="I174" s="15"/>
      <c r="J174" s="15"/>
      <c r="K174" s="15"/>
      <c r="L174" s="15"/>
      <c r="M174" s="15"/>
      <c r="N174" s="15"/>
      <c r="O174" s="15"/>
      <c r="P174" s="15"/>
      <c r="Q174" s="15"/>
      <c r="R174" s="15"/>
      <c r="S174" s="15"/>
      <c r="T174" s="15"/>
      <c r="U174" s="15"/>
      <c r="V174" s="15"/>
      <c r="W174" s="15"/>
      <c r="X174" s="15"/>
      <c r="Y174" s="15"/>
      <c r="Z174" s="15"/>
      <c r="AA174" s="15"/>
      <c r="AB174" s="15"/>
      <c r="AC174" s="15"/>
      <c r="AD174" s="15"/>
      <c r="AE174" s="15"/>
      <c r="AF174" s="15"/>
    </row>
    <row r="175" spans="5:32" x14ac:dyDescent="0.25">
      <c r="E175" s="15"/>
      <c r="F175" s="15"/>
      <c r="G175" s="15"/>
      <c r="H175" s="15"/>
      <c r="I175" s="15"/>
      <c r="J175" s="15"/>
      <c r="K175" s="15"/>
      <c r="L175" s="15"/>
      <c r="M175" s="15"/>
      <c r="N175" s="15"/>
      <c r="O175" s="15"/>
      <c r="P175" s="15"/>
      <c r="Q175" s="15"/>
      <c r="R175" s="15"/>
      <c r="S175" s="15"/>
      <c r="T175" s="15"/>
      <c r="U175" s="15"/>
      <c r="V175" s="15"/>
      <c r="W175" s="15"/>
      <c r="X175" s="15"/>
      <c r="Y175" s="15"/>
      <c r="Z175" s="15"/>
      <c r="AA175" s="15"/>
      <c r="AB175" s="15"/>
      <c r="AC175" s="15"/>
      <c r="AD175" s="15"/>
      <c r="AE175" s="15"/>
      <c r="AF175" s="15"/>
    </row>
    <row r="176" spans="5:32" x14ac:dyDescent="0.25">
      <c r="E176" s="15"/>
      <c r="F176" s="15"/>
      <c r="G176" s="15"/>
      <c r="H176" s="15"/>
      <c r="I176" s="15"/>
      <c r="J176" s="15"/>
      <c r="K176" s="15"/>
      <c r="L176" s="15"/>
      <c r="M176" s="15"/>
      <c r="N176" s="15"/>
      <c r="O176" s="15"/>
      <c r="P176" s="15"/>
      <c r="Q176" s="15"/>
      <c r="R176" s="15"/>
      <c r="S176" s="15"/>
      <c r="T176" s="15"/>
      <c r="U176" s="15"/>
      <c r="V176" s="15"/>
      <c r="W176" s="15"/>
      <c r="X176" s="15"/>
      <c r="Y176" s="15"/>
      <c r="Z176" s="15"/>
      <c r="AA176" s="15"/>
      <c r="AB176" s="15"/>
      <c r="AC176" s="15"/>
      <c r="AD176" s="15"/>
      <c r="AE176" s="15"/>
      <c r="AF176" s="15"/>
    </row>
    <row r="177" spans="5:32" x14ac:dyDescent="0.25">
      <c r="E177" s="15"/>
      <c r="F177" s="15"/>
      <c r="G177" s="15"/>
      <c r="H177" s="15"/>
      <c r="I177" s="15"/>
      <c r="J177" s="15"/>
      <c r="K177" s="15"/>
      <c r="L177" s="15"/>
      <c r="M177" s="15"/>
      <c r="N177" s="15"/>
      <c r="O177" s="15"/>
      <c r="P177" s="15"/>
      <c r="Q177" s="15"/>
      <c r="R177" s="15"/>
      <c r="S177" s="15"/>
      <c r="T177" s="15"/>
      <c r="U177" s="15"/>
      <c r="V177" s="15"/>
      <c r="W177" s="15"/>
      <c r="X177" s="15"/>
      <c r="Y177" s="15"/>
      <c r="Z177" s="15"/>
      <c r="AA177" s="15"/>
      <c r="AB177" s="15"/>
      <c r="AC177" s="15"/>
      <c r="AD177" s="15"/>
      <c r="AE177" s="15"/>
      <c r="AF177" s="15"/>
    </row>
    <row r="178" spans="5:32" x14ac:dyDescent="0.25">
      <c r="E178" s="15"/>
      <c r="F178" s="15"/>
      <c r="G178" s="15"/>
      <c r="H178" s="15"/>
      <c r="I178" s="15"/>
      <c r="J178" s="15"/>
      <c r="K178" s="15"/>
      <c r="L178" s="15"/>
      <c r="M178" s="15"/>
      <c r="N178" s="15"/>
      <c r="O178" s="15"/>
      <c r="P178" s="15"/>
      <c r="Q178" s="15"/>
      <c r="R178" s="15"/>
      <c r="S178" s="15"/>
      <c r="T178" s="15"/>
      <c r="U178" s="15"/>
      <c r="V178" s="15"/>
      <c r="W178" s="15"/>
      <c r="X178" s="15"/>
      <c r="Y178" s="15"/>
      <c r="Z178" s="15"/>
      <c r="AA178" s="15"/>
      <c r="AB178" s="15"/>
      <c r="AC178" s="15"/>
      <c r="AD178" s="15"/>
      <c r="AE178" s="15"/>
      <c r="AF178" s="15"/>
    </row>
    <row r="179" spans="5:32" x14ac:dyDescent="0.25">
      <c r="E179" s="15"/>
      <c r="F179" s="15"/>
      <c r="G179" s="15"/>
      <c r="H179" s="15"/>
      <c r="I179" s="15"/>
      <c r="J179" s="15"/>
      <c r="K179" s="15"/>
      <c r="L179" s="15"/>
      <c r="M179" s="15"/>
      <c r="N179" s="15"/>
      <c r="O179" s="15"/>
      <c r="P179" s="15"/>
      <c r="Q179" s="15"/>
      <c r="R179" s="15"/>
      <c r="S179" s="15"/>
      <c r="T179" s="15"/>
      <c r="U179" s="15"/>
      <c r="V179" s="15"/>
      <c r="W179" s="15"/>
      <c r="X179" s="15"/>
      <c r="Y179" s="15"/>
      <c r="Z179" s="15"/>
      <c r="AA179" s="15"/>
      <c r="AB179" s="15"/>
      <c r="AC179" s="15"/>
      <c r="AD179" s="15"/>
      <c r="AE179" s="15"/>
      <c r="AF179" s="15"/>
    </row>
    <row r="180" spans="5:32" x14ac:dyDescent="0.25">
      <c r="E180" s="15"/>
      <c r="F180" s="15"/>
      <c r="G180" s="15"/>
      <c r="H180" s="15"/>
      <c r="I180" s="15"/>
      <c r="J180" s="15"/>
      <c r="K180" s="15"/>
      <c r="L180" s="15"/>
      <c r="M180" s="15"/>
      <c r="N180" s="15"/>
      <c r="O180" s="15"/>
      <c r="P180" s="15"/>
      <c r="Q180" s="15"/>
      <c r="R180" s="15"/>
      <c r="S180" s="15"/>
      <c r="T180" s="15"/>
      <c r="U180" s="15"/>
      <c r="V180" s="15"/>
      <c r="W180" s="15"/>
      <c r="X180" s="15"/>
      <c r="Y180" s="15"/>
      <c r="Z180" s="15"/>
      <c r="AA180" s="15"/>
      <c r="AB180" s="15"/>
      <c r="AC180" s="15"/>
      <c r="AD180" s="15"/>
      <c r="AE180" s="15"/>
      <c r="AF180" s="15"/>
    </row>
    <row r="181" spans="5:32" x14ac:dyDescent="0.25">
      <c r="E181" s="15"/>
      <c r="F181" s="15"/>
      <c r="G181" s="15"/>
      <c r="H181" s="15"/>
      <c r="I181" s="15"/>
      <c r="J181" s="15"/>
      <c r="K181" s="15"/>
      <c r="L181" s="15"/>
      <c r="M181" s="15"/>
      <c r="N181" s="15"/>
      <c r="O181" s="15"/>
      <c r="P181" s="15"/>
      <c r="Q181" s="15"/>
      <c r="R181" s="15"/>
      <c r="S181" s="15"/>
      <c r="T181" s="15"/>
      <c r="U181" s="15"/>
      <c r="V181" s="15"/>
      <c r="W181" s="15"/>
      <c r="X181" s="15"/>
      <c r="Y181" s="15"/>
      <c r="Z181" s="15"/>
      <c r="AA181" s="15"/>
      <c r="AB181" s="15"/>
      <c r="AC181" s="15"/>
      <c r="AD181" s="15"/>
      <c r="AE181" s="15"/>
      <c r="AF181" s="15"/>
    </row>
    <row r="182" spans="5:32" x14ac:dyDescent="0.25">
      <c r="E182" s="15"/>
      <c r="F182" s="15"/>
      <c r="G182" s="15"/>
      <c r="H182" s="15"/>
      <c r="I182" s="15"/>
      <c r="J182" s="15"/>
      <c r="K182" s="15"/>
      <c r="L182" s="15"/>
      <c r="M182" s="15"/>
      <c r="N182" s="15"/>
      <c r="O182" s="15"/>
      <c r="P182" s="15"/>
      <c r="Q182" s="15"/>
      <c r="R182" s="15"/>
      <c r="S182" s="15"/>
      <c r="T182" s="15"/>
      <c r="U182" s="15"/>
      <c r="V182" s="15"/>
      <c r="W182" s="15"/>
      <c r="X182" s="15"/>
      <c r="Y182" s="15"/>
      <c r="Z182" s="15"/>
      <c r="AA182" s="15"/>
      <c r="AB182" s="15"/>
      <c r="AC182" s="15"/>
      <c r="AD182" s="15"/>
      <c r="AE182" s="15"/>
      <c r="AF182" s="15"/>
    </row>
    <row r="183" spans="5:32" x14ac:dyDescent="0.25">
      <c r="E183" s="15"/>
      <c r="F183" s="15"/>
      <c r="G183" s="15"/>
      <c r="H183" s="15"/>
      <c r="I183" s="15"/>
      <c r="J183" s="15"/>
      <c r="K183" s="15"/>
      <c r="L183" s="15"/>
      <c r="M183" s="15"/>
      <c r="N183" s="15"/>
      <c r="O183" s="15"/>
      <c r="P183" s="15"/>
      <c r="Q183" s="15"/>
      <c r="R183" s="15"/>
      <c r="S183" s="15"/>
      <c r="T183" s="15"/>
      <c r="U183" s="15"/>
      <c r="V183" s="15"/>
      <c r="W183" s="15"/>
      <c r="X183" s="15"/>
      <c r="Y183" s="15"/>
      <c r="Z183" s="15"/>
      <c r="AA183" s="15"/>
      <c r="AB183" s="15"/>
      <c r="AC183" s="15"/>
      <c r="AD183" s="15"/>
      <c r="AE183" s="15"/>
      <c r="AF183" s="15"/>
    </row>
    <row r="184" spans="5:32" x14ac:dyDescent="0.25">
      <c r="E184" s="15"/>
      <c r="F184" s="15"/>
      <c r="G184" s="15"/>
      <c r="H184" s="15"/>
      <c r="I184" s="15"/>
      <c r="J184" s="15"/>
      <c r="K184" s="15"/>
      <c r="L184" s="15"/>
      <c r="M184" s="15"/>
      <c r="N184" s="15"/>
      <c r="O184" s="15"/>
      <c r="P184" s="15"/>
      <c r="Q184" s="15"/>
      <c r="R184" s="15"/>
      <c r="S184" s="15"/>
      <c r="T184" s="15"/>
      <c r="U184" s="15"/>
      <c r="V184" s="15"/>
      <c r="W184" s="15"/>
      <c r="X184" s="15"/>
      <c r="Y184" s="15"/>
      <c r="Z184" s="15"/>
      <c r="AA184" s="15"/>
      <c r="AB184" s="15"/>
      <c r="AC184" s="15"/>
      <c r="AD184" s="15"/>
      <c r="AE184" s="15"/>
      <c r="AF184" s="15"/>
    </row>
    <row r="185" spans="5:32" x14ac:dyDescent="0.25">
      <c r="E185" s="15"/>
      <c r="F185" s="15"/>
      <c r="G185" s="15"/>
      <c r="H185" s="15"/>
      <c r="I185" s="15"/>
      <c r="J185" s="15"/>
      <c r="K185" s="15"/>
      <c r="L185" s="15"/>
      <c r="M185" s="15"/>
      <c r="N185" s="15"/>
      <c r="O185" s="15"/>
      <c r="P185" s="15"/>
      <c r="Q185" s="15"/>
      <c r="R185" s="15"/>
      <c r="S185" s="15"/>
      <c r="T185" s="15"/>
      <c r="U185" s="15"/>
      <c r="V185" s="15"/>
      <c r="W185" s="15"/>
      <c r="X185" s="15"/>
      <c r="Y185" s="15"/>
      <c r="Z185" s="15"/>
      <c r="AA185" s="15"/>
      <c r="AB185" s="15"/>
      <c r="AC185" s="15"/>
      <c r="AD185" s="15"/>
      <c r="AE185" s="15"/>
      <c r="AF185" s="15"/>
    </row>
    <row r="186" spans="5:32" x14ac:dyDescent="0.25">
      <c r="E186" s="15"/>
      <c r="F186" s="15"/>
      <c r="G186" s="15"/>
      <c r="H186" s="15"/>
      <c r="I186" s="15"/>
      <c r="J186" s="15"/>
      <c r="K186" s="15"/>
      <c r="L186" s="15"/>
      <c r="M186" s="15"/>
      <c r="N186" s="15"/>
      <c r="O186" s="15"/>
      <c r="P186" s="15"/>
      <c r="Q186" s="15"/>
      <c r="R186" s="15"/>
      <c r="S186" s="15"/>
      <c r="T186" s="15"/>
      <c r="U186" s="15"/>
      <c r="V186" s="15"/>
      <c r="W186" s="15"/>
      <c r="X186" s="15"/>
      <c r="Y186" s="15"/>
      <c r="Z186" s="15"/>
      <c r="AA186" s="15"/>
      <c r="AB186" s="15"/>
      <c r="AC186" s="15"/>
      <c r="AD186" s="15"/>
      <c r="AE186" s="15"/>
      <c r="AF186" s="15"/>
    </row>
    <row r="187" spans="5:32" x14ac:dyDescent="0.25">
      <c r="E187" s="15"/>
      <c r="F187" s="15"/>
      <c r="G187" s="15"/>
      <c r="H187" s="15"/>
      <c r="I187" s="15"/>
      <c r="J187" s="15"/>
      <c r="K187" s="15"/>
      <c r="L187" s="15"/>
      <c r="M187" s="15"/>
      <c r="N187" s="15"/>
      <c r="O187" s="15"/>
      <c r="P187" s="15"/>
      <c r="Q187" s="15"/>
      <c r="R187" s="15"/>
      <c r="S187" s="15"/>
      <c r="T187" s="15"/>
      <c r="U187" s="15"/>
      <c r="V187" s="15"/>
      <c r="W187" s="15"/>
      <c r="X187" s="15"/>
      <c r="Y187" s="15"/>
      <c r="Z187" s="15"/>
      <c r="AA187" s="15"/>
      <c r="AB187" s="15"/>
      <c r="AC187" s="15"/>
      <c r="AD187" s="15"/>
      <c r="AE187" s="15"/>
      <c r="AF187" s="15"/>
    </row>
    <row r="188" spans="5:32" x14ac:dyDescent="0.25">
      <c r="E188" s="15"/>
      <c r="F188" s="15"/>
      <c r="G188" s="15"/>
      <c r="H188" s="15"/>
      <c r="I188" s="15"/>
      <c r="J188" s="15"/>
      <c r="K188" s="15"/>
      <c r="L188" s="15"/>
      <c r="M188" s="15"/>
      <c r="N188" s="15"/>
      <c r="O188" s="15"/>
      <c r="P188" s="15"/>
      <c r="Q188" s="15"/>
      <c r="R188" s="15"/>
      <c r="S188" s="15"/>
      <c r="T188" s="15"/>
      <c r="U188" s="15"/>
      <c r="V188" s="15"/>
      <c r="W188" s="15"/>
      <c r="X188" s="15"/>
      <c r="Y188" s="15"/>
      <c r="Z188" s="15"/>
      <c r="AA188" s="15"/>
      <c r="AB188" s="15"/>
      <c r="AC188" s="15"/>
      <c r="AD188" s="15"/>
      <c r="AE188" s="15"/>
      <c r="AF188" s="15"/>
    </row>
    <row r="189" spans="5:32" x14ac:dyDescent="0.25">
      <c r="E189" s="15"/>
      <c r="F189" s="15"/>
      <c r="G189" s="15"/>
      <c r="H189" s="15"/>
      <c r="I189" s="15"/>
      <c r="J189" s="15"/>
      <c r="K189" s="15"/>
      <c r="L189" s="15"/>
      <c r="M189" s="15"/>
      <c r="N189" s="15"/>
      <c r="O189" s="15"/>
      <c r="P189" s="15"/>
      <c r="Q189" s="15"/>
      <c r="R189" s="15"/>
      <c r="S189" s="15"/>
      <c r="T189" s="15"/>
      <c r="U189" s="15"/>
      <c r="V189" s="15"/>
      <c r="W189" s="15"/>
      <c r="X189" s="15"/>
      <c r="Y189" s="15"/>
      <c r="Z189" s="15"/>
      <c r="AA189" s="15"/>
      <c r="AB189" s="15"/>
      <c r="AC189" s="15"/>
      <c r="AD189" s="15"/>
      <c r="AE189" s="15"/>
      <c r="AF189" s="15"/>
    </row>
    <row r="190" spans="5:32" x14ac:dyDescent="0.25">
      <c r="E190" s="15"/>
      <c r="F190" s="15"/>
      <c r="G190" s="15"/>
      <c r="H190" s="15"/>
      <c r="I190" s="15"/>
      <c r="J190" s="15"/>
      <c r="K190" s="15"/>
      <c r="L190" s="15"/>
      <c r="M190" s="15"/>
      <c r="N190" s="15"/>
      <c r="O190" s="15"/>
      <c r="P190" s="15"/>
      <c r="Q190" s="15"/>
      <c r="R190" s="15"/>
      <c r="S190" s="15"/>
      <c r="T190" s="15"/>
      <c r="U190" s="15"/>
      <c r="V190" s="15"/>
      <c r="W190" s="15"/>
      <c r="X190" s="15"/>
      <c r="Y190" s="15"/>
      <c r="Z190" s="15"/>
      <c r="AA190" s="15"/>
      <c r="AB190" s="15"/>
      <c r="AC190" s="15"/>
      <c r="AD190" s="15"/>
      <c r="AE190" s="15"/>
      <c r="AF190" s="15"/>
    </row>
    <row r="191" spans="5:32" x14ac:dyDescent="0.25">
      <c r="E191" s="15"/>
      <c r="F191" s="15"/>
      <c r="G191" s="15"/>
      <c r="H191" s="15"/>
      <c r="I191" s="15"/>
      <c r="J191" s="15"/>
      <c r="K191" s="15"/>
      <c r="L191" s="15"/>
      <c r="M191" s="15"/>
      <c r="N191" s="15"/>
      <c r="O191" s="15"/>
      <c r="P191" s="15"/>
      <c r="Q191" s="15"/>
      <c r="R191" s="15"/>
      <c r="S191" s="15"/>
      <c r="T191" s="15"/>
      <c r="U191" s="15"/>
      <c r="V191" s="15"/>
      <c r="W191" s="15"/>
      <c r="X191" s="15"/>
      <c r="Y191" s="15"/>
      <c r="Z191" s="15"/>
      <c r="AA191" s="15"/>
      <c r="AB191" s="15"/>
      <c r="AC191" s="15"/>
      <c r="AD191" s="15"/>
      <c r="AE191" s="15"/>
      <c r="AF191" s="15"/>
    </row>
    <row r="192" spans="5:32" x14ac:dyDescent="0.25">
      <c r="E192" s="15"/>
      <c r="F192" s="15"/>
      <c r="G192" s="15"/>
      <c r="H192" s="15"/>
      <c r="I192" s="15"/>
      <c r="J192" s="15"/>
      <c r="K192" s="15"/>
      <c r="L192" s="15"/>
      <c r="M192" s="15"/>
      <c r="N192" s="15"/>
      <c r="O192" s="15"/>
      <c r="P192" s="15"/>
      <c r="Q192" s="15"/>
      <c r="R192" s="15"/>
      <c r="S192" s="15"/>
      <c r="T192" s="15"/>
      <c r="U192" s="15"/>
      <c r="V192" s="15"/>
      <c r="W192" s="15"/>
      <c r="X192" s="15"/>
      <c r="Y192" s="15"/>
      <c r="Z192" s="15"/>
      <c r="AA192" s="15"/>
      <c r="AB192" s="15"/>
      <c r="AC192" s="15"/>
      <c r="AD192" s="15"/>
      <c r="AE192" s="15"/>
      <c r="AF192" s="15"/>
    </row>
    <row r="193" spans="5:32" x14ac:dyDescent="0.25">
      <c r="E193" s="15"/>
      <c r="F193" s="15"/>
      <c r="G193" s="15"/>
      <c r="H193" s="15"/>
      <c r="I193" s="15"/>
      <c r="J193" s="15"/>
      <c r="K193" s="15"/>
      <c r="L193" s="15"/>
      <c r="M193" s="15"/>
      <c r="N193" s="15"/>
      <c r="O193" s="15"/>
      <c r="P193" s="15"/>
      <c r="Q193" s="15"/>
      <c r="R193" s="15"/>
      <c r="S193" s="15"/>
      <c r="T193" s="15"/>
      <c r="U193" s="15"/>
      <c r="V193" s="15"/>
      <c r="W193" s="15"/>
      <c r="X193" s="15"/>
      <c r="Y193" s="15"/>
      <c r="Z193" s="15"/>
      <c r="AA193" s="15"/>
      <c r="AB193" s="15"/>
      <c r="AC193" s="15"/>
      <c r="AD193" s="15"/>
      <c r="AE193" s="15"/>
      <c r="AF193" s="15"/>
    </row>
    <row r="194" spans="5:32" x14ac:dyDescent="0.25">
      <c r="E194" s="15"/>
      <c r="F194" s="15"/>
      <c r="G194" s="15"/>
      <c r="H194" s="15"/>
      <c r="I194" s="15"/>
      <c r="J194" s="15"/>
      <c r="K194" s="15"/>
      <c r="L194" s="15"/>
      <c r="M194" s="15"/>
      <c r="N194" s="15"/>
      <c r="O194" s="15"/>
      <c r="P194" s="15"/>
      <c r="Q194" s="15"/>
      <c r="R194" s="15"/>
      <c r="S194" s="15"/>
      <c r="T194" s="15"/>
      <c r="U194" s="15"/>
      <c r="V194" s="15"/>
      <c r="W194" s="15"/>
      <c r="X194" s="15"/>
      <c r="Y194" s="15"/>
      <c r="Z194" s="15"/>
      <c r="AA194" s="15"/>
      <c r="AB194" s="15"/>
      <c r="AC194" s="15"/>
      <c r="AD194" s="15"/>
      <c r="AE194" s="15"/>
      <c r="AF194" s="15"/>
    </row>
    <row r="195" spans="5:32" x14ac:dyDescent="0.25">
      <c r="E195" s="15"/>
      <c r="F195" s="15"/>
      <c r="G195" s="15"/>
      <c r="H195" s="15"/>
      <c r="I195" s="15"/>
      <c r="J195" s="15"/>
      <c r="K195" s="15"/>
      <c r="L195" s="15"/>
      <c r="M195" s="15"/>
      <c r="N195" s="15"/>
      <c r="O195" s="15"/>
      <c r="P195" s="15"/>
      <c r="Q195" s="15"/>
      <c r="R195" s="15"/>
      <c r="S195" s="15"/>
      <c r="T195" s="15"/>
      <c r="U195" s="15"/>
      <c r="V195" s="15"/>
      <c r="W195" s="15"/>
      <c r="X195" s="15"/>
      <c r="Y195" s="15"/>
      <c r="Z195" s="15"/>
      <c r="AA195" s="15"/>
      <c r="AB195" s="15"/>
      <c r="AC195" s="15"/>
      <c r="AD195" s="15"/>
      <c r="AE195" s="15"/>
      <c r="AF195" s="15"/>
    </row>
    <row r="196" spans="5:32" x14ac:dyDescent="0.25">
      <c r="E196" s="15"/>
      <c r="F196" s="15"/>
      <c r="G196" s="15"/>
      <c r="H196" s="15"/>
      <c r="I196" s="15"/>
      <c r="J196" s="15"/>
      <c r="K196" s="15"/>
      <c r="L196" s="15"/>
      <c r="M196" s="15"/>
      <c r="N196" s="15"/>
      <c r="O196" s="15"/>
      <c r="P196" s="15"/>
      <c r="Q196" s="15"/>
      <c r="R196" s="15"/>
      <c r="S196" s="15"/>
      <c r="T196" s="15"/>
      <c r="U196" s="15"/>
      <c r="V196" s="15"/>
      <c r="W196" s="15"/>
      <c r="X196" s="15"/>
      <c r="Y196" s="15"/>
      <c r="Z196" s="15"/>
      <c r="AA196" s="15"/>
      <c r="AB196" s="15"/>
      <c r="AC196" s="15"/>
      <c r="AD196" s="15"/>
      <c r="AE196" s="15"/>
      <c r="AF196" s="15"/>
    </row>
    <row r="197" spans="5:32" x14ac:dyDescent="0.25">
      <c r="E197" s="15"/>
      <c r="F197" s="15"/>
      <c r="G197" s="15"/>
      <c r="H197" s="15"/>
      <c r="I197" s="15"/>
      <c r="J197" s="15"/>
      <c r="K197" s="15"/>
      <c r="L197" s="15"/>
      <c r="M197" s="15"/>
      <c r="N197" s="15"/>
      <c r="O197" s="15"/>
      <c r="P197" s="15"/>
      <c r="Q197" s="15"/>
      <c r="R197" s="15"/>
      <c r="S197" s="15"/>
      <c r="T197" s="15"/>
      <c r="U197" s="15"/>
      <c r="V197" s="15"/>
      <c r="W197" s="15"/>
      <c r="X197" s="15"/>
      <c r="Y197" s="15"/>
      <c r="Z197" s="15"/>
      <c r="AA197" s="15"/>
      <c r="AB197" s="15"/>
      <c r="AC197" s="15"/>
      <c r="AD197" s="15"/>
      <c r="AE197" s="15"/>
      <c r="AF197" s="15"/>
    </row>
    <row r="198" spans="5:32" x14ac:dyDescent="0.2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row>
    <row r="199" spans="5:32" x14ac:dyDescent="0.2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row>
    <row r="200" spans="5:32" x14ac:dyDescent="0.2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row>
    <row r="201" spans="5:32" x14ac:dyDescent="0.2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row>
    <row r="202" spans="5:32" x14ac:dyDescent="0.2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row>
    <row r="203" spans="5:32" x14ac:dyDescent="0.2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row>
    <row r="204" spans="5:32" x14ac:dyDescent="0.2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row>
    <row r="205" spans="5:32" x14ac:dyDescent="0.2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row>
    <row r="206" spans="5:32" x14ac:dyDescent="0.2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row>
    <row r="207" spans="5:32" x14ac:dyDescent="0.2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row>
    <row r="208" spans="5:32" x14ac:dyDescent="0.2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row>
    <row r="209" spans="5:32" x14ac:dyDescent="0.2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row>
    <row r="210" spans="5:32" x14ac:dyDescent="0.2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row>
    <row r="211" spans="5:32" x14ac:dyDescent="0.2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row>
    <row r="212" spans="5:32" x14ac:dyDescent="0.2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row>
    <row r="213" spans="5:32" x14ac:dyDescent="0.2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row>
    <row r="214" spans="5:32" x14ac:dyDescent="0.2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row>
    <row r="215" spans="5:32" x14ac:dyDescent="0.2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row>
    <row r="216" spans="5:32" x14ac:dyDescent="0.2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row>
    <row r="217" spans="5:32" x14ac:dyDescent="0.2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row>
    <row r="218" spans="5:32" x14ac:dyDescent="0.2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row>
    <row r="219" spans="5:32" x14ac:dyDescent="0.2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row>
    <row r="220" spans="5:32" x14ac:dyDescent="0.2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row>
    <row r="221" spans="5:32" x14ac:dyDescent="0.2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row>
    <row r="222" spans="5:32" x14ac:dyDescent="0.2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row>
    <row r="223" spans="5:32" x14ac:dyDescent="0.2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row>
    <row r="224" spans="5:32" x14ac:dyDescent="0.2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row>
    <row r="225" spans="5:32" x14ac:dyDescent="0.2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row>
    <row r="226" spans="5:32" x14ac:dyDescent="0.25">
      <c r="E226" s="15"/>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row>
    <row r="227" spans="5:32" x14ac:dyDescent="0.25">
      <c r="E227" s="15"/>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row>
    <row r="228" spans="5:32" x14ac:dyDescent="0.25">
      <c r="E228" s="15"/>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row>
    <row r="229" spans="5:32" x14ac:dyDescent="0.25">
      <c r="E229" s="15"/>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row>
    <row r="230" spans="5:32" x14ac:dyDescent="0.25">
      <c r="E230" s="15"/>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row>
    <row r="231" spans="5:32" x14ac:dyDescent="0.25">
      <c r="E231" s="15"/>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row>
    <row r="232" spans="5:32" x14ac:dyDescent="0.25">
      <c r="E232" s="15"/>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row>
    <row r="233" spans="5:32" x14ac:dyDescent="0.25">
      <c r="E233" s="15"/>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row>
    <row r="234" spans="5:32" x14ac:dyDescent="0.25">
      <c r="E234" s="15"/>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row>
    <row r="235" spans="5:32" x14ac:dyDescent="0.25">
      <c r="E235" s="15"/>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row>
    <row r="236" spans="5:32" x14ac:dyDescent="0.25">
      <c r="E236" s="15"/>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row>
    <row r="237" spans="5:32" x14ac:dyDescent="0.2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row>
    <row r="238" spans="5:32" x14ac:dyDescent="0.25">
      <c r="E238" s="15"/>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row>
    <row r="239" spans="5:32" x14ac:dyDescent="0.25">
      <c r="E239" s="15"/>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row>
    <row r="240" spans="5:32" x14ac:dyDescent="0.25">
      <c r="E240" s="15"/>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row>
    <row r="241" spans="5:32" x14ac:dyDescent="0.25">
      <c r="E241" s="15"/>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row>
    <row r="242" spans="5:32" x14ac:dyDescent="0.25">
      <c r="E242" s="15"/>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row>
    <row r="243" spans="5:32" x14ac:dyDescent="0.25">
      <c r="E243" s="15"/>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row>
    <row r="244" spans="5:32" x14ac:dyDescent="0.25">
      <c r="E244" s="15"/>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row>
    <row r="245" spans="5:32" x14ac:dyDescent="0.25">
      <c r="E245" s="15"/>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row>
    <row r="246" spans="5:32" x14ac:dyDescent="0.25">
      <c r="E246" s="15"/>
      <c r="F246" s="15"/>
      <c r="G246" s="15"/>
      <c r="H246" s="15"/>
      <c r="I246" s="15"/>
      <c r="J246" s="15"/>
      <c r="K246" s="15"/>
      <c r="L246" s="15"/>
      <c r="M246" s="15"/>
      <c r="N246" s="15"/>
      <c r="O246" s="15"/>
      <c r="P246" s="15"/>
      <c r="Q246" s="15"/>
      <c r="R246" s="15"/>
      <c r="S246" s="15"/>
      <c r="T246" s="15"/>
      <c r="U246" s="15"/>
      <c r="V246" s="15"/>
      <c r="W246" s="15"/>
      <c r="X246" s="15"/>
      <c r="Y246" s="15"/>
      <c r="Z246" s="15"/>
      <c r="AA246" s="15"/>
      <c r="AB246" s="15"/>
      <c r="AC246" s="15"/>
      <c r="AD246" s="15"/>
      <c r="AE246" s="15"/>
      <c r="AF246" s="15"/>
    </row>
    <row r="247" spans="5:32" x14ac:dyDescent="0.25">
      <c r="E247" s="15"/>
      <c r="F247" s="15"/>
      <c r="G247" s="15"/>
      <c r="H247" s="15"/>
      <c r="I247" s="15"/>
      <c r="J247" s="15"/>
      <c r="K247" s="15"/>
      <c r="L247" s="15"/>
      <c r="M247" s="15"/>
      <c r="N247" s="15"/>
      <c r="O247" s="15"/>
      <c r="P247" s="15"/>
      <c r="Q247" s="15"/>
      <c r="R247" s="15"/>
      <c r="S247" s="15"/>
      <c r="T247" s="15"/>
      <c r="U247" s="15"/>
      <c r="V247" s="15"/>
      <c r="W247" s="15"/>
      <c r="X247" s="15"/>
      <c r="Y247" s="15"/>
      <c r="Z247" s="15"/>
      <c r="AA247" s="15"/>
      <c r="AB247" s="15"/>
      <c r="AC247" s="15"/>
      <c r="AD247" s="15"/>
      <c r="AE247" s="15"/>
      <c r="AF247" s="15"/>
    </row>
    <row r="248" spans="5:32" x14ac:dyDescent="0.25">
      <c r="E248" s="15"/>
      <c r="F248" s="15"/>
      <c r="G248" s="15"/>
      <c r="H248" s="15"/>
      <c r="I248" s="15"/>
      <c r="J248" s="15"/>
      <c r="K248" s="15"/>
      <c r="L248" s="15"/>
      <c r="M248" s="15"/>
      <c r="N248" s="15"/>
      <c r="O248" s="15"/>
      <c r="P248" s="15"/>
      <c r="Q248" s="15"/>
      <c r="R248" s="15"/>
      <c r="S248" s="15"/>
      <c r="T248" s="15"/>
      <c r="U248" s="15"/>
      <c r="V248" s="15"/>
      <c r="W248" s="15"/>
      <c r="X248" s="15"/>
      <c r="Y248" s="15"/>
      <c r="Z248" s="15"/>
      <c r="AA248" s="15"/>
      <c r="AB248" s="15"/>
      <c r="AC248" s="15"/>
      <c r="AD248" s="15"/>
      <c r="AE248" s="15"/>
      <c r="AF248" s="15"/>
    </row>
    <row r="249" spans="5:32" x14ac:dyDescent="0.25">
      <c r="E249" s="15"/>
      <c r="F249" s="15"/>
      <c r="G249" s="15"/>
      <c r="H249" s="15"/>
      <c r="I249" s="15"/>
      <c r="J249" s="15"/>
      <c r="K249" s="15"/>
      <c r="L249" s="15"/>
      <c r="M249" s="15"/>
      <c r="N249" s="15"/>
      <c r="O249" s="15"/>
      <c r="P249" s="15"/>
      <c r="Q249" s="15"/>
      <c r="R249" s="15"/>
      <c r="S249" s="15"/>
      <c r="T249" s="15"/>
      <c r="U249" s="15"/>
      <c r="V249" s="15"/>
      <c r="W249" s="15"/>
      <c r="X249" s="15"/>
      <c r="Y249" s="15"/>
      <c r="Z249" s="15"/>
      <c r="AA249" s="15"/>
      <c r="AB249" s="15"/>
      <c r="AC249" s="15"/>
      <c r="AD249" s="15"/>
      <c r="AE249" s="15"/>
      <c r="AF249" s="15"/>
    </row>
    <row r="250" spans="5:32" x14ac:dyDescent="0.25">
      <c r="E250" s="15"/>
      <c r="F250" s="15"/>
      <c r="G250" s="15"/>
      <c r="H250" s="15"/>
      <c r="I250" s="15"/>
      <c r="J250" s="15"/>
      <c r="K250" s="15"/>
      <c r="L250" s="15"/>
      <c r="M250" s="15"/>
      <c r="N250" s="15"/>
      <c r="O250" s="15"/>
      <c r="P250" s="15"/>
      <c r="Q250" s="15"/>
      <c r="R250" s="15"/>
      <c r="S250" s="15"/>
      <c r="T250" s="15"/>
      <c r="U250" s="15"/>
      <c r="V250" s="15"/>
      <c r="W250" s="15"/>
      <c r="X250" s="15"/>
      <c r="Y250" s="15"/>
      <c r="Z250" s="15"/>
      <c r="AA250" s="15"/>
      <c r="AB250" s="15"/>
      <c r="AC250" s="15"/>
      <c r="AD250" s="15"/>
      <c r="AE250" s="15"/>
      <c r="AF250" s="15"/>
    </row>
    <row r="251" spans="5:32" x14ac:dyDescent="0.25">
      <c r="E251" s="15"/>
      <c r="F251" s="15"/>
      <c r="G251" s="15"/>
      <c r="H251" s="15"/>
      <c r="I251" s="15"/>
      <c r="J251" s="15"/>
      <c r="K251" s="15"/>
      <c r="L251" s="15"/>
      <c r="M251" s="15"/>
      <c r="N251" s="15"/>
      <c r="O251" s="15"/>
      <c r="P251" s="15"/>
      <c r="Q251" s="15"/>
      <c r="R251" s="15"/>
      <c r="S251" s="15"/>
      <c r="T251" s="15"/>
      <c r="U251" s="15"/>
      <c r="V251" s="15"/>
      <c r="W251" s="15"/>
      <c r="X251" s="15"/>
      <c r="Y251" s="15"/>
      <c r="Z251" s="15"/>
      <c r="AA251" s="15"/>
      <c r="AB251" s="15"/>
      <c r="AC251" s="15"/>
      <c r="AD251" s="15"/>
      <c r="AE251" s="15"/>
      <c r="AF251" s="15"/>
    </row>
    <row r="252" spans="5:32" x14ac:dyDescent="0.25">
      <c r="E252" s="15"/>
      <c r="F252" s="15"/>
      <c r="G252" s="15"/>
      <c r="H252" s="15"/>
      <c r="I252" s="15"/>
      <c r="J252" s="15"/>
      <c r="K252" s="15"/>
      <c r="L252" s="15"/>
      <c r="M252" s="15"/>
      <c r="N252" s="15"/>
      <c r="O252" s="15"/>
      <c r="P252" s="15"/>
      <c r="Q252" s="15"/>
      <c r="R252" s="15"/>
      <c r="S252" s="15"/>
      <c r="T252" s="15"/>
      <c r="U252" s="15"/>
      <c r="V252" s="15"/>
      <c r="W252" s="15"/>
      <c r="X252" s="15"/>
      <c r="Y252" s="15"/>
      <c r="Z252" s="15"/>
      <c r="AA252" s="15"/>
      <c r="AB252" s="15"/>
      <c r="AC252" s="15"/>
      <c r="AD252" s="15"/>
      <c r="AE252" s="15"/>
      <c r="AF252" s="15"/>
    </row>
    <row r="253" spans="5:32" x14ac:dyDescent="0.25">
      <c r="E253" s="15"/>
      <c r="F253" s="15"/>
      <c r="G253" s="15"/>
      <c r="H253" s="15"/>
      <c r="I253" s="15"/>
      <c r="J253" s="15"/>
      <c r="K253" s="15"/>
      <c r="L253" s="15"/>
      <c r="M253" s="15"/>
      <c r="N253" s="15"/>
      <c r="O253" s="15"/>
      <c r="P253" s="15"/>
      <c r="Q253" s="15"/>
      <c r="R253" s="15"/>
      <c r="S253" s="15"/>
      <c r="T253" s="15"/>
      <c r="U253" s="15"/>
      <c r="V253" s="15"/>
      <c r="W253" s="15"/>
      <c r="X253" s="15"/>
      <c r="Y253" s="15"/>
      <c r="Z253" s="15"/>
      <c r="AA253" s="15"/>
      <c r="AB253" s="15"/>
      <c r="AC253" s="15"/>
      <c r="AD253" s="15"/>
      <c r="AE253" s="15"/>
      <c r="AF253" s="15"/>
    </row>
    <row r="254" spans="5:32" x14ac:dyDescent="0.25">
      <c r="E254" s="15"/>
      <c r="F254" s="15"/>
      <c r="G254" s="15"/>
      <c r="H254" s="15"/>
      <c r="I254" s="15"/>
      <c r="J254" s="15"/>
      <c r="K254" s="15"/>
      <c r="L254" s="15"/>
      <c r="M254" s="15"/>
      <c r="N254" s="15"/>
      <c r="O254" s="15"/>
      <c r="P254" s="15"/>
      <c r="Q254" s="15"/>
      <c r="R254" s="15"/>
      <c r="S254" s="15"/>
      <c r="T254" s="15"/>
      <c r="U254" s="15"/>
      <c r="V254" s="15"/>
      <c r="W254" s="15"/>
      <c r="X254" s="15"/>
      <c r="Y254" s="15"/>
      <c r="Z254" s="15"/>
      <c r="AA254" s="15"/>
      <c r="AB254" s="15"/>
      <c r="AC254" s="15"/>
      <c r="AD254" s="15"/>
      <c r="AE254" s="15"/>
      <c r="AF254" s="15"/>
    </row>
    <row r="255" spans="5:32" x14ac:dyDescent="0.25">
      <c r="E255" s="15"/>
      <c r="F255" s="15"/>
      <c r="G255" s="15"/>
      <c r="H255" s="15"/>
      <c r="I255" s="15"/>
      <c r="J255" s="15"/>
      <c r="K255" s="15"/>
      <c r="L255" s="15"/>
      <c r="M255" s="15"/>
      <c r="N255" s="15"/>
      <c r="O255" s="15"/>
      <c r="P255" s="15"/>
      <c r="Q255" s="15"/>
      <c r="R255" s="15"/>
      <c r="S255" s="15"/>
      <c r="T255" s="15"/>
      <c r="U255" s="15"/>
      <c r="V255" s="15"/>
      <c r="W255" s="15"/>
      <c r="X255" s="15"/>
      <c r="Y255" s="15"/>
      <c r="Z255" s="15"/>
      <c r="AA255" s="15"/>
      <c r="AB255" s="15"/>
      <c r="AC255" s="15"/>
      <c r="AD255" s="15"/>
      <c r="AE255" s="15"/>
      <c r="AF255" s="15"/>
    </row>
    <row r="256" spans="5:32" x14ac:dyDescent="0.25">
      <c r="E256" s="15"/>
      <c r="F256" s="15"/>
      <c r="G256" s="15"/>
      <c r="H256" s="15"/>
      <c r="I256" s="15"/>
      <c r="J256" s="15"/>
      <c r="K256" s="15"/>
      <c r="L256" s="15"/>
      <c r="M256" s="15"/>
      <c r="N256" s="15"/>
      <c r="O256" s="15"/>
      <c r="P256" s="15"/>
      <c r="Q256" s="15"/>
      <c r="R256" s="15"/>
      <c r="S256" s="15"/>
      <c r="T256" s="15"/>
      <c r="U256" s="15"/>
      <c r="V256" s="15"/>
      <c r="W256" s="15"/>
      <c r="X256" s="15"/>
      <c r="Y256" s="15"/>
      <c r="Z256" s="15"/>
      <c r="AA256" s="15"/>
      <c r="AB256" s="15"/>
      <c r="AC256" s="15"/>
      <c r="AD256" s="15"/>
      <c r="AE256" s="15"/>
      <c r="AF256" s="15"/>
    </row>
    <row r="257" spans="5:32" x14ac:dyDescent="0.25">
      <c r="E257" s="15"/>
      <c r="F257" s="15"/>
      <c r="G257" s="15"/>
      <c r="H257" s="15"/>
      <c r="I257" s="15"/>
      <c r="J257" s="15"/>
      <c r="K257" s="15"/>
      <c r="L257" s="15"/>
      <c r="M257" s="15"/>
      <c r="N257" s="15"/>
      <c r="O257" s="15"/>
      <c r="P257" s="15"/>
      <c r="Q257" s="15"/>
      <c r="R257" s="15"/>
      <c r="S257" s="15"/>
      <c r="T257" s="15"/>
      <c r="U257" s="15"/>
      <c r="V257" s="15"/>
      <c r="W257" s="15"/>
      <c r="X257" s="15"/>
      <c r="Y257" s="15"/>
      <c r="Z257" s="15"/>
      <c r="AA257" s="15"/>
      <c r="AB257" s="15"/>
      <c r="AC257" s="15"/>
      <c r="AD257" s="15"/>
      <c r="AE257" s="15"/>
      <c r="AF257" s="15"/>
    </row>
    <row r="258" spans="5:32" x14ac:dyDescent="0.25">
      <c r="E258" s="15"/>
      <c r="F258" s="15"/>
      <c r="G258" s="15"/>
      <c r="H258" s="15"/>
      <c r="I258" s="15"/>
      <c r="J258" s="15"/>
      <c r="K258" s="15"/>
      <c r="L258" s="15"/>
      <c r="M258" s="15"/>
      <c r="N258" s="15"/>
      <c r="O258" s="15"/>
      <c r="P258" s="15"/>
      <c r="Q258" s="15"/>
      <c r="R258" s="15"/>
      <c r="S258" s="15"/>
      <c r="T258" s="15"/>
      <c r="U258" s="15"/>
      <c r="V258" s="15"/>
      <c r="W258" s="15"/>
      <c r="X258" s="15"/>
      <c r="Y258" s="15"/>
      <c r="Z258" s="15"/>
      <c r="AA258" s="15"/>
      <c r="AB258" s="15"/>
      <c r="AC258" s="15"/>
      <c r="AD258" s="15"/>
      <c r="AE258" s="15"/>
      <c r="AF258" s="15"/>
    </row>
    <row r="259" spans="5:32" x14ac:dyDescent="0.25">
      <c r="E259" s="15"/>
      <c r="F259" s="15"/>
      <c r="G259" s="15"/>
      <c r="H259" s="15"/>
      <c r="I259" s="15"/>
      <c r="J259" s="15"/>
      <c r="K259" s="15"/>
      <c r="L259" s="15"/>
      <c r="M259" s="15"/>
      <c r="N259" s="15"/>
      <c r="O259" s="15"/>
      <c r="P259" s="15"/>
      <c r="Q259" s="15"/>
      <c r="R259" s="15"/>
      <c r="S259" s="15"/>
      <c r="T259" s="15"/>
      <c r="U259" s="15"/>
      <c r="V259" s="15"/>
      <c r="W259" s="15"/>
      <c r="X259" s="15"/>
      <c r="Y259" s="15"/>
      <c r="Z259" s="15"/>
      <c r="AA259" s="15"/>
      <c r="AB259" s="15"/>
      <c r="AC259" s="15"/>
      <c r="AD259" s="15"/>
      <c r="AE259" s="15"/>
      <c r="AF259" s="15"/>
    </row>
    <row r="260" spans="5:32" x14ac:dyDescent="0.25">
      <c r="E260" s="15"/>
      <c r="F260" s="15"/>
      <c r="G260" s="15"/>
      <c r="H260" s="15"/>
      <c r="I260" s="15"/>
      <c r="J260" s="15"/>
      <c r="K260" s="15"/>
      <c r="L260" s="15"/>
      <c r="M260" s="15"/>
      <c r="N260" s="15"/>
      <c r="O260" s="15"/>
      <c r="P260" s="15"/>
      <c r="Q260" s="15"/>
      <c r="R260" s="15"/>
      <c r="S260" s="15"/>
      <c r="T260" s="15"/>
      <c r="U260" s="15"/>
      <c r="V260" s="15"/>
      <c r="W260" s="15"/>
      <c r="X260" s="15"/>
      <c r="Y260" s="15"/>
      <c r="Z260" s="15"/>
      <c r="AA260" s="15"/>
      <c r="AB260" s="15"/>
      <c r="AC260" s="15"/>
      <c r="AD260" s="15"/>
      <c r="AE260" s="15"/>
      <c r="AF260" s="15"/>
    </row>
    <row r="261" spans="5:32" x14ac:dyDescent="0.25">
      <c r="E261" s="15"/>
      <c r="F261" s="15"/>
      <c r="G261" s="15"/>
      <c r="H261" s="15"/>
      <c r="I261" s="15"/>
      <c r="J261" s="15"/>
      <c r="K261" s="15"/>
      <c r="L261" s="15"/>
      <c r="M261" s="15"/>
      <c r="N261" s="15"/>
      <c r="O261" s="15"/>
      <c r="P261" s="15"/>
      <c r="Q261" s="15"/>
      <c r="R261" s="15"/>
      <c r="S261" s="15"/>
      <c r="T261" s="15"/>
      <c r="U261" s="15"/>
      <c r="V261" s="15"/>
      <c r="W261" s="15"/>
      <c r="X261" s="15"/>
      <c r="Y261" s="15"/>
      <c r="Z261" s="15"/>
      <c r="AA261" s="15"/>
      <c r="AB261" s="15"/>
      <c r="AC261" s="15"/>
      <c r="AD261" s="15"/>
      <c r="AE261" s="15"/>
      <c r="AF261" s="15"/>
    </row>
    <row r="262" spans="5:32" x14ac:dyDescent="0.25">
      <c r="E262" s="15"/>
      <c r="F262" s="15"/>
      <c r="G262" s="15"/>
      <c r="H262" s="15"/>
      <c r="I262" s="15"/>
      <c r="J262" s="15"/>
      <c r="K262" s="15"/>
      <c r="L262" s="15"/>
      <c r="M262" s="15"/>
      <c r="N262" s="15"/>
      <c r="O262" s="15"/>
      <c r="P262" s="15"/>
      <c r="Q262" s="15"/>
      <c r="R262" s="15"/>
      <c r="S262" s="15"/>
      <c r="T262" s="15"/>
      <c r="U262" s="15"/>
      <c r="V262" s="15"/>
      <c r="W262" s="15"/>
      <c r="X262" s="15"/>
      <c r="Y262" s="15"/>
      <c r="Z262" s="15"/>
      <c r="AA262" s="15"/>
      <c r="AB262" s="15"/>
      <c r="AC262" s="15"/>
      <c r="AD262" s="15"/>
      <c r="AE262" s="15"/>
      <c r="AF262" s="15"/>
    </row>
    <row r="263" spans="5:32" x14ac:dyDescent="0.25">
      <c r="E263" s="15"/>
      <c r="F263" s="15"/>
      <c r="G263" s="15"/>
      <c r="H263" s="15"/>
      <c r="I263" s="15"/>
      <c r="J263" s="15"/>
      <c r="K263" s="15"/>
      <c r="L263" s="15"/>
      <c r="M263" s="15"/>
      <c r="N263" s="15"/>
      <c r="O263" s="15"/>
      <c r="P263" s="15"/>
      <c r="Q263" s="15"/>
      <c r="R263" s="15"/>
      <c r="S263" s="15"/>
      <c r="T263" s="15"/>
      <c r="U263" s="15"/>
      <c r="V263" s="15"/>
      <c r="W263" s="15"/>
      <c r="X263" s="15"/>
      <c r="Y263" s="15"/>
      <c r="Z263" s="15"/>
      <c r="AA263" s="15"/>
      <c r="AB263" s="15"/>
      <c r="AC263" s="15"/>
      <c r="AD263" s="15"/>
      <c r="AE263" s="15"/>
      <c r="AF263" s="15"/>
    </row>
    <row r="264" spans="5:32" x14ac:dyDescent="0.25">
      <c r="E264" s="15"/>
      <c r="F264" s="15"/>
      <c r="G264" s="15"/>
      <c r="H264" s="15"/>
      <c r="I264" s="15"/>
      <c r="J264" s="15"/>
      <c r="K264" s="15"/>
      <c r="L264" s="15"/>
      <c r="M264" s="15"/>
      <c r="N264" s="15"/>
      <c r="O264" s="15"/>
      <c r="P264" s="15"/>
      <c r="Q264" s="15"/>
      <c r="R264" s="15"/>
      <c r="S264" s="15"/>
      <c r="T264" s="15"/>
      <c r="U264" s="15"/>
      <c r="V264" s="15"/>
      <c r="W264" s="15"/>
      <c r="X264" s="15"/>
      <c r="Y264" s="15"/>
      <c r="Z264" s="15"/>
      <c r="AA264" s="15"/>
      <c r="AB264" s="15"/>
      <c r="AC264" s="15"/>
      <c r="AD264" s="15"/>
      <c r="AE264" s="15"/>
      <c r="AF264" s="15"/>
    </row>
    <row r="265" spans="5:32" x14ac:dyDescent="0.25">
      <c r="E265" s="15"/>
      <c r="F265" s="15"/>
      <c r="G265" s="15"/>
      <c r="H265" s="15"/>
      <c r="I265" s="15"/>
      <c r="J265" s="15"/>
      <c r="K265" s="15"/>
      <c r="L265" s="15"/>
      <c r="M265" s="15"/>
      <c r="N265" s="15"/>
      <c r="O265" s="15"/>
      <c r="P265" s="15"/>
      <c r="Q265" s="15"/>
      <c r="R265" s="15"/>
      <c r="S265" s="15"/>
      <c r="T265" s="15"/>
      <c r="U265" s="15"/>
      <c r="V265" s="15"/>
      <c r="W265" s="15"/>
      <c r="X265" s="15"/>
      <c r="Y265" s="15"/>
      <c r="Z265" s="15"/>
      <c r="AA265" s="15"/>
      <c r="AB265" s="15"/>
      <c r="AC265" s="15"/>
      <c r="AD265" s="15"/>
      <c r="AE265" s="15"/>
      <c r="AF265" s="15"/>
    </row>
    <row r="266" spans="5:32" x14ac:dyDescent="0.25">
      <c r="E266" s="15"/>
      <c r="F266" s="15"/>
      <c r="G266" s="15"/>
      <c r="H266" s="15"/>
      <c r="I266" s="15"/>
      <c r="J266" s="15"/>
      <c r="K266" s="15"/>
      <c r="L266" s="15"/>
      <c r="M266" s="15"/>
      <c r="N266" s="15"/>
      <c r="O266" s="15"/>
      <c r="P266" s="15"/>
      <c r="Q266" s="15"/>
      <c r="R266" s="15"/>
      <c r="S266" s="15"/>
      <c r="T266" s="15"/>
      <c r="U266" s="15"/>
      <c r="V266" s="15"/>
      <c r="W266" s="15"/>
      <c r="X266" s="15"/>
      <c r="Y266" s="15"/>
      <c r="Z266" s="15"/>
      <c r="AA266" s="15"/>
      <c r="AB266" s="15"/>
      <c r="AC266" s="15"/>
      <c r="AD266" s="15"/>
      <c r="AE266" s="15"/>
      <c r="AF266" s="15"/>
    </row>
    <row r="267" spans="5:32" x14ac:dyDescent="0.25">
      <c r="E267" s="15"/>
      <c r="F267" s="15"/>
      <c r="G267" s="15"/>
      <c r="H267" s="15"/>
      <c r="I267" s="15"/>
      <c r="J267" s="15"/>
      <c r="K267" s="15"/>
      <c r="L267" s="15"/>
      <c r="M267" s="15"/>
      <c r="N267" s="15"/>
      <c r="O267" s="15"/>
      <c r="P267" s="15"/>
      <c r="Q267" s="15"/>
      <c r="R267" s="15"/>
      <c r="S267" s="15"/>
      <c r="T267" s="15"/>
      <c r="U267" s="15"/>
      <c r="V267" s="15"/>
      <c r="W267" s="15"/>
      <c r="X267" s="15"/>
      <c r="Y267" s="15"/>
      <c r="Z267" s="15"/>
      <c r="AA267" s="15"/>
      <c r="AB267" s="15"/>
      <c r="AC267" s="15"/>
      <c r="AD267" s="15"/>
      <c r="AE267" s="15"/>
      <c r="AF267" s="15"/>
    </row>
    <row r="268" spans="5:32" x14ac:dyDescent="0.25">
      <c r="E268" s="15"/>
      <c r="F268" s="15"/>
      <c r="G268" s="15"/>
      <c r="H268" s="15"/>
      <c r="I268" s="15"/>
      <c r="J268" s="15"/>
      <c r="K268" s="15"/>
      <c r="L268" s="15"/>
      <c r="M268" s="15"/>
      <c r="N268" s="15"/>
      <c r="O268" s="15"/>
      <c r="P268" s="15"/>
      <c r="Q268" s="15"/>
      <c r="R268" s="15"/>
      <c r="S268" s="15"/>
      <c r="T268" s="15"/>
      <c r="U268" s="15"/>
      <c r="V268" s="15"/>
      <c r="W268" s="15"/>
      <c r="X268" s="15"/>
      <c r="Y268" s="15"/>
      <c r="Z268" s="15"/>
      <c r="AA268" s="15"/>
      <c r="AB268" s="15"/>
      <c r="AC268" s="15"/>
      <c r="AD268" s="15"/>
      <c r="AE268" s="15"/>
      <c r="AF268" s="15"/>
    </row>
    <row r="269" spans="5:32" x14ac:dyDescent="0.25">
      <c r="E269" s="15"/>
      <c r="F269" s="15"/>
      <c r="G269" s="15"/>
      <c r="H269" s="15"/>
      <c r="I269" s="15"/>
      <c r="J269" s="15"/>
      <c r="K269" s="15"/>
      <c r="L269" s="15"/>
      <c r="M269" s="15"/>
      <c r="N269" s="15"/>
      <c r="O269" s="15"/>
      <c r="P269" s="15"/>
      <c r="Q269" s="15"/>
      <c r="R269" s="15"/>
      <c r="S269" s="15"/>
      <c r="T269" s="15"/>
      <c r="U269" s="15"/>
      <c r="V269" s="15"/>
      <c r="W269" s="15"/>
      <c r="X269" s="15"/>
      <c r="Y269" s="15"/>
      <c r="Z269" s="15"/>
      <c r="AA269" s="15"/>
      <c r="AB269" s="15"/>
      <c r="AC269" s="15"/>
      <c r="AD269" s="15"/>
      <c r="AE269" s="15"/>
      <c r="AF269" s="15"/>
    </row>
    <row r="270" spans="5:32" x14ac:dyDescent="0.25">
      <c r="E270" s="15"/>
      <c r="F270" s="15"/>
      <c r="G270" s="15"/>
      <c r="H270" s="15"/>
      <c r="I270" s="15"/>
      <c r="J270" s="15"/>
      <c r="K270" s="15"/>
      <c r="L270" s="15"/>
      <c r="M270" s="15"/>
      <c r="N270" s="15"/>
      <c r="O270" s="15"/>
      <c r="P270" s="15"/>
      <c r="Q270" s="15"/>
      <c r="R270" s="15"/>
      <c r="S270" s="15"/>
      <c r="T270" s="15"/>
      <c r="U270" s="15"/>
      <c r="V270" s="15"/>
      <c r="W270" s="15"/>
      <c r="X270" s="15"/>
      <c r="Y270" s="15"/>
      <c r="Z270" s="15"/>
      <c r="AA270" s="15"/>
      <c r="AB270" s="15"/>
      <c r="AC270" s="15"/>
      <c r="AD270" s="15"/>
      <c r="AE270" s="15"/>
      <c r="AF270" s="15"/>
    </row>
  </sheetData>
  <sheetProtection selectLockedCells="1"/>
  <mergeCells count="26">
    <mergeCell ref="F35:H35"/>
    <mergeCell ref="E10:I10"/>
    <mergeCell ref="K10:O10"/>
    <mergeCell ref="Q10:U10"/>
    <mergeCell ref="W10:AA10"/>
    <mergeCell ref="F14:H14"/>
    <mergeCell ref="F17:H17"/>
    <mergeCell ref="L14:N14"/>
    <mergeCell ref="L17:N17"/>
    <mergeCell ref="X14:Z14"/>
    <mergeCell ref="X17:Z17"/>
    <mergeCell ref="F20:H20"/>
    <mergeCell ref="F23:H23"/>
    <mergeCell ref="F26:H26"/>
    <mergeCell ref="F29:H29"/>
    <mergeCell ref="F32:H32"/>
    <mergeCell ref="R14:T14"/>
    <mergeCell ref="R17:T17"/>
    <mergeCell ref="R20:T20"/>
    <mergeCell ref="R23:T23"/>
    <mergeCell ref="R26:T26"/>
    <mergeCell ref="X20:Z20"/>
    <mergeCell ref="L20:N20"/>
    <mergeCell ref="L23:N23"/>
    <mergeCell ref="L26:N26"/>
    <mergeCell ref="L29:N29"/>
  </mergeCells>
  <dataValidations count="8">
    <dataValidation type="list" allowBlank="1" showInputMessage="1" showErrorMessage="1" sqref="F26:H26" xr:uid="{ECCC7F19-8713-42E1-A1ED-7DAD8917375F}">
      <formula1>"Male,Female,Other"</formula1>
    </dataValidation>
    <dataValidation type="date" allowBlank="1" showInputMessage="1" showErrorMessage="1" promptTitle="Date format" prompt="dd/mm/yyyy" sqref="R20:T20" xr:uid="{E60F0CB9-E848-499C-AE96-99AE06B04310}">
      <formula1>1</formula1>
      <formula2>73051</formula2>
    </dataValidation>
    <dataValidation type="date" allowBlank="1" showInputMessage="1" showErrorMessage="1" promptTitle="Date format" prompt="dd/mm/yy" sqref="X17:Z17" xr:uid="{691518CB-ED33-4A62-A27C-4B1EFFB4D907}">
      <formula1>1</formula1>
      <formula2>73051</formula2>
    </dataValidation>
    <dataValidation type="list" allowBlank="1" showInputMessage="1" showErrorMessage="1" prompt="How many children do you have" sqref="L29:N29" xr:uid="{869D6C2D-E1CF-429F-ABAC-3E93377F809E}">
      <formula1>"0,1,2,3,4,5,6,7,8,9,10,11,12,13,14,15,16,17,18,19,20"</formula1>
    </dataValidation>
    <dataValidation type="list" allowBlank="1" showInputMessage="1" showErrorMessage="1" promptTitle="Age range" sqref="F29:H29" xr:uid="{B4E12C10-4FAE-400B-9C46-25FD60909808}">
      <formula1>"20-25,25-30,30-35,35-40,40-45,45-50,50-55,55-60,60-65,65-70,70-80,80-90,above 90"</formula1>
    </dataValidation>
    <dataValidation type="textLength" operator="greaterThan" allowBlank="1" showInputMessage="1" showErrorMessage="1" sqref="F17:H17" xr:uid="{DD81B225-24E7-4F24-9508-AFF7159807FC}">
      <formula1>1</formula1>
    </dataValidation>
    <dataValidation type="textLength" operator="greaterThan" allowBlank="1" showInputMessage="1" showErrorMessage="1" sqref="F20:H20 F23:H23 R14:T14 R23:T23 R26:T26" xr:uid="{D34C82B4-40B1-44D3-8110-B019A155C936}">
      <formula1>2</formula1>
    </dataValidation>
    <dataValidation type="list" allowBlank="1" showInputMessage="1" showErrorMessage="1" sqref="F32:H32" xr:uid="{B8535990-82AE-4B78-A18E-8B55D18A1794}">
      <formula1>"Single,Married,Divorced"</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ntry_data">
                <anchor moveWithCells="1" sizeWithCells="1">
                  <from>
                    <xdr:col>23</xdr:col>
                    <xdr:colOff>333375</xdr:colOff>
                    <xdr:row>31</xdr:row>
                    <xdr:rowOff>19050</xdr:rowOff>
                  </from>
                  <to>
                    <xdr:col>25</xdr:col>
                    <xdr:colOff>866775</xdr:colOff>
                    <xdr:row>34</xdr:row>
                    <xdr:rowOff>57150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627E5C30-7346-4A0E-A5CA-B23E440C231B}">
          <x14:formula1>
            <xm:f>'Set up'!$G$17:$G$54</xm:f>
          </x14:formula1>
          <xm:sqref>F35:H35</xm:sqref>
        </x14:dataValidation>
        <x14:dataValidation type="list" allowBlank="1" showInputMessage="1" showErrorMessage="1" xr:uid="{D208BF86-752C-4EF0-A38A-01144303BE94}">
          <x14:formula1>
            <xm:f>'Set up'!$K$17:$K$40</xm:f>
          </x14:formula1>
          <xm:sqref>X20:Z20</xm:sqref>
        </x14:dataValidation>
        <x14:dataValidation type="list" allowBlank="1" showInputMessage="1" showErrorMessage="1" xr:uid="{0505EFCE-7207-4FAF-984A-CBE1630F8A60}">
          <x14:formula1>
            <xm:f>'Set up'!$I$17:$I$35</xm:f>
          </x14:formula1>
          <xm:sqref>R17:T17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25305-F219-4D64-BFD3-2AB4479CA844}">
  <sheetPr codeName="Sheet3"/>
  <dimension ref="G9:AH63"/>
  <sheetViews>
    <sheetView showGridLines="0" zoomScale="80" zoomScaleNormal="80" workbookViewId="0">
      <selection activeCell="G16" sqref="G16"/>
    </sheetView>
  </sheetViews>
  <sheetFormatPr defaultColWidth="8.7109375" defaultRowHeight="15" x14ac:dyDescent="0.25"/>
  <cols>
    <col min="1" max="6" width="8.7109375" style="5"/>
    <col min="7" max="8" width="21.5703125" style="5" bestFit="1" customWidth="1"/>
    <col min="9" max="9" width="13.28515625" style="5" bestFit="1" customWidth="1"/>
    <col min="10" max="10" width="21.5703125" style="5" bestFit="1" customWidth="1"/>
    <col min="11" max="11" width="17.28515625" style="5" bestFit="1" customWidth="1"/>
    <col min="12" max="12" width="13.28515625" style="5" bestFit="1" customWidth="1"/>
    <col min="13" max="13" width="12.140625" style="5" bestFit="1" customWidth="1"/>
    <col min="14" max="15" width="21.5703125" style="5" bestFit="1" customWidth="1"/>
    <col min="16" max="16" width="2.7109375" style="5" customWidth="1"/>
    <col min="17" max="33" width="25.28515625" style="5" bestFit="1" customWidth="1"/>
    <col min="34" max="34" width="11" style="5" bestFit="1" customWidth="1"/>
    <col min="35" max="16384" width="8.7109375" style="5"/>
  </cols>
  <sheetData>
    <row r="9" spans="7:18" x14ac:dyDescent="0.25">
      <c r="H9" s="57" t="s">
        <v>1</v>
      </c>
      <c r="I9" s="58"/>
      <c r="J9" s="58"/>
      <c r="K9" s="58"/>
      <c r="L9" s="58"/>
      <c r="M9" s="58"/>
      <c r="N9" s="58"/>
      <c r="O9" s="58"/>
      <c r="P9" s="58"/>
      <c r="Q9" s="7"/>
    </row>
    <row r="10" spans="7:18" x14ac:dyDescent="0.25">
      <c r="H10" s="59"/>
      <c r="I10" s="59"/>
      <c r="J10" s="59"/>
      <c r="K10" s="59"/>
      <c r="L10" s="59"/>
      <c r="M10" s="59"/>
      <c r="N10" s="59"/>
      <c r="O10" s="59"/>
      <c r="P10" s="59"/>
      <c r="Q10" s="7"/>
    </row>
    <row r="13" spans="7:18" ht="15.75" thickBot="1" x14ac:dyDescent="0.3">
      <c r="G13" s="9" t="s">
        <v>39</v>
      </c>
      <c r="H13" s="9"/>
      <c r="I13" s="9"/>
      <c r="J13" s="9"/>
      <c r="K13" s="9"/>
      <c r="L13" s="9"/>
      <c r="M13" s="9"/>
      <c r="N13" s="9"/>
    </row>
    <row r="14" spans="7:18" ht="15.75" thickTop="1" x14ac:dyDescent="0.25">
      <c r="M14"/>
      <c r="N14"/>
      <c r="O14"/>
    </row>
    <row r="15" spans="7:18" x14ac:dyDescent="0.25">
      <c r="G15" t="s">
        <v>40</v>
      </c>
      <c r="H15"/>
      <c r="I15" s="11" t="s">
        <v>43</v>
      </c>
      <c r="J15" t="s">
        <v>40</v>
      </c>
      <c r="K15"/>
      <c r="L15" s="11" t="s">
        <v>43</v>
      </c>
      <c r="M15" t="s">
        <v>411</v>
      </c>
      <c r="N15"/>
    </row>
    <row r="16" spans="7:18" x14ac:dyDescent="0.25">
      <c r="G16">
        <v>58</v>
      </c>
      <c r="H16"/>
      <c r="I16" s="12" t="s">
        <v>158</v>
      </c>
      <c r="J16">
        <v>35</v>
      </c>
      <c r="K16"/>
      <c r="L16" s="12" t="s">
        <v>159</v>
      </c>
      <c r="M16">
        <v>57</v>
      </c>
      <c r="N16"/>
      <c r="O16"/>
      <c r="P16"/>
      <c r="Q16"/>
      <c r="R16"/>
    </row>
    <row r="17" spans="7:34" x14ac:dyDescent="0.25">
      <c r="G17"/>
      <c r="H17"/>
      <c r="I17" s="12" t="s">
        <v>410</v>
      </c>
      <c r="J17">
        <v>23</v>
      </c>
      <c r="K17"/>
      <c r="L17" s="12" t="s">
        <v>412</v>
      </c>
      <c r="M17">
        <v>1</v>
      </c>
      <c r="N17"/>
      <c r="O17"/>
      <c r="P17"/>
      <c r="Q17"/>
      <c r="R17"/>
      <c r="S17" s="14"/>
    </row>
    <row r="18" spans="7:34" x14ac:dyDescent="0.25">
      <c r="G18"/>
      <c r="H18"/>
      <c r="I18" s="12" t="s">
        <v>44</v>
      </c>
      <c r="J18">
        <v>58</v>
      </c>
      <c r="K18"/>
      <c r="L18" s="12" t="s">
        <v>44</v>
      </c>
      <c r="M18">
        <v>58</v>
      </c>
      <c r="N18"/>
      <c r="O18"/>
      <c r="P18"/>
      <c r="Q18"/>
      <c r="R18"/>
      <c r="S18" s="14"/>
    </row>
    <row r="19" spans="7:34" x14ac:dyDescent="0.25">
      <c r="G19">
        <f>GETPIVOTDATA("Serial Number",$G$15)</f>
        <v>58</v>
      </c>
      <c r="H19"/>
      <c r="I19"/>
      <c r="J19"/>
      <c r="K19"/>
      <c r="L19"/>
      <c r="M19"/>
      <c r="N19"/>
      <c r="O19"/>
      <c r="P19"/>
      <c r="Q19"/>
      <c r="R19"/>
      <c r="S19" s="14"/>
    </row>
    <row r="20" spans="7:34" x14ac:dyDescent="0.25">
      <c r="G20"/>
      <c r="H20"/>
      <c r="I20"/>
      <c r="J20"/>
      <c r="K20"/>
      <c r="L20"/>
      <c r="M20"/>
      <c r="N20"/>
      <c r="O20"/>
      <c r="P20"/>
      <c r="Q20"/>
      <c r="R20"/>
      <c r="S20" s="14"/>
    </row>
    <row r="21" spans="7:34" x14ac:dyDescent="0.25">
      <c r="G21"/>
      <c r="H21"/>
      <c r="I21"/>
      <c r="J21"/>
      <c r="K21"/>
      <c r="L21"/>
      <c r="M21"/>
      <c r="N21"/>
      <c r="O21"/>
      <c r="P21"/>
      <c r="Q21"/>
      <c r="R21"/>
      <c r="S21" s="10"/>
    </row>
    <row r="22" spans="7:34" x14ac:dyDescent="0.25">
      <c r="G22"/>
      <c r="H22"/>
      <c r="I22"/>
      <c r="J22"/>
      <c r="K22"/>
      <c r="L22"/>
      <c r="M22"/>
      <c r="N22"/>
      <c r="P22"/>
      <c r="Q22"/>
      <c r="R22"/>
      <c r="S22" s="10"/>
    </row>
    <row r="23" spans="7:34" x14ac:dyDescent="0.25">
      <c r="G23"/>
      <c r="H23"/>
      <c r="I23"/>
      <c r="J23"/>
      <c r="K23"/>
      <c r="L23"/>
      <c r="M23"/>
      <c r="N23"/>
      <c r="O23"/>
      <c r="P23"/>
      <c r="Q23"/>
      <c r="R23"/>
      <c r="S23" s="10"/>
    </row>
    <row r="24" spans="7:34" ht="15.75" thickBot="1" x14ac:dyDescent="0.3">
      <c r="G24" s="9" t="s">
        <v>39</v>
      </c>
      <c r="H24" s="9"/>
      <c r="I24" s="9"/>
      <c r="J24" s="9"/>
      <c r="K24" s="9"/>
      <c r="L24" s="9"/>
      <c r="M24" s="9"/>
      <c r="N24" s="9"/>
      <c r="O24"/>
      <c r="P24"/>
      <c r="Q24"/>
      <c r="R24"/>
      <c r="S24" s="10"/>
    </row>
    <row r="25" spans="7:34" ht="15.75" thickTop="1" x14ac:dyDescent="0.25">
      <c r="G25"/>
      <c r="H25"/>
      <c r="I25"/>
      <c r="J25"/>
      <c r="K25"/>
      <c r="L25"/>
      <c r="M25"/>
      <c r="N25"/>
      <c r="O25"/>
      <c r="P25"/>
      <c r="Q25"/>
      <c r="R25"/>
    </row>
    <row r="26" spans="7:34" x14ac:dyDescent="0.25">
      <c r="G26"/>
      <c r="H26"/>
      <c r="I26"/>
      <c r="J26"/>
      <c r="K26"/>
      <c r="L26"/>
      <c r="M26"/>
      <c r="N26"/>
      <c r="O26"/>
      <c r="P26"/>
      <c r="Q26"/>
      <c r="R26"/>
    </row>
    <row r="27" spans="7:34" x14ac:dyDescent="0.25">
      <c r="G27" s="11" t="s">
        <v>43</v>
      </c>
      <c r="H27" t="s">
        <v>40</v>
      </c>
      <c r="I27"/>
      <c r="J27" s="11" t="s">
        <v>43</v>
      </c>
      <c r="K27" t="s">
        <v>413</v>
      </c>
      <c r="L27"/>
      <c r="M27" s="11" t="s">
        <v>43</v>
      </c>
      <c r="N27" t="s">
        <v>40</v>
      </c>
      <c r="O27"/>
      <c r="P27"/>
      <c r="Q27"/>
      <c r="R27"/>
      <c r="S27"/>
      <c r="T27"/>
      <c r="U27"/>
      <c r="V27"/>
      <c r="W27"/>
      <c r="X27"/>
      <c r="Y27"/>
      <c r="Z27"/>
      <c r="AA27"/>
      <c r="AB27"/>
      <c r="AC27"/>
      <c r="AD27"/>
      <c r="AE27"/>
      <c r="AF27"/>
      <c r="AG27"/>
      <c r="AH27"/>
    </row>
    <row r="28" spans="7:34" x14ac:dyDescent="0.25">
      <c r="G28" s="12" t="s">
        <v>29</v>
      </c>
      <c r="H28">
        <v>1</v>
      </c>
      <c r="I28"/>
      <c r="J28" s="12" t="s">
        <v>166</v>
      </c>
      <c r="K28">
        <v>1</v>
      </c>
      <c r="L28"/>
      <c r="M28" s="12" t="s">
        <v>301</v>
      </c>
      <c r="N28">
        <v>2</v>
      </c>
      <c r="O28" t="str">
        <f>M28</f>
        <v>Agadez</v>
      </c>
      <c r="P28">
        <v>1</v>
      </c>
      <c r="Q28" s="36">
        <f>P28/P36</f>
        <v>1.7241379310344827E-2</v>
      </c>
      <c r="R28"/>
      <c r="S28"/>
      <c r="T28"/>
      <c r="U28"/>
      <c r="V28"/>
      <c r="W28"/>
      <c r="X28"/>
      <c r="Y28"/>
      <c r="Z28"/>
      <c r="AA28"/>
      <c r="AB28"/>
      <c r="AC28"/>
      <c r="AD28"/>
      <c r="AE28"/>
      <c r="AF28"/>
      <c r="AG28"/>
      <c r="AH28"/>
    </row>
    <row r="29" spans="7:34" x14ac:dyDescent="0.25">
      <c r="G29" s="12" t="s">
        <v>32</v>
      </c>
      <c r="H29">
        <v>28</v>
      </c>
      <c r="I29"/>
      <c r="J29" s="12" t="s">
        <v>25</v>
      </c>
      <c r="K29">
        <v>7</v>
      </c>
      <c r="L29"/>
      <c r="M29" s="12" t="s">
        <v>304</v>
      </c>
      <c r="N29">
        <v>7</v>
      </c>
      <c r="O29" t="str">
        <f t="shared" ref="O29:O36" si="0">M29</f>
        <v>Diffa</v>
      </c>
      <c r="P29">
        <v>1</v>
      </c>
      <c r="Q29" s="36">
        <f>P29/P36</f>
        <v>1.7241379310344827E-2</v>
      </c>
      <c r="R29"/>
    </row>
    <row r="30" spans="7:34" x14ac:dyDescent="0.25">
      <c r="G30" s="12" t="s">
        <v>31</v>
      </c>
      <c r="H30">
        <v>13</v>
      </c>
      <c r="I30"/>
      <c r="J30" s="12" t="s">
        <v>34</v>
      </c>
      <c r="K30">
        <v>13</v>
      </c>
      <c r="L30"/>
      <c r="M30" s="12" t="s">
        <v>307</v>
      </c>
      <c r="N30">
        <v>1</v>
      </c>
      <c r="O30" t="str">
        <f t="shared" si="0"/>
        <v>Dosso</v>
      </c>
      <c r="P30">
        <v>1</v>
      </c>
      <c r="Q30" s="36">
        <f>P30/P36</f>
        <v>1.7241379310344827E-2</v>
      </c>
      <c r="R30"/>
    </row>
    <row r="31" spans="7:34" x14ac:dyDescent="0.25">
      <c r="G31" s="12" t="s">
        <v>24</v>
      </c>
      <c r="H31">
        <v>3</v>
      </c>
      <c r="I31"/>
      <c r="J31" s="12" t="s">
        <v>35</v>
      </c>
      <c r="K31">
        <v>1</v>
      </c>
      <c r="L31"/>
      <c r="M31" s="12" t="s">
        <v>310</v>
      </c>
      <c r="N31">
        <v>1</v>
      </c>
      <c r="O31" t="str">
        <f t="shared" si="0"/>
        <v>Maradi</v>
      </c>
      <c r="P31">
        <v>1</v>
      </c>
      <c r="Q31" s="36">
        <f>P31/P36</f>
        <v>1.7241379310344827E-2</v>
      </c>
      <c r="R31"/>
    </row>
    <row r="32" spans="7:34" x14ac:dyDescent="0.25">
      <c r="G32" s="12" t="s">
        <v>33</v>
      </c>
      <c r="H32">
        <v>2</v>
      </c>
      <c r="I32"/>
      <c r="J32" s="12" t="s">
        <v>30</v>
      </c>
      <c r="K32">
        <v>30</v>
      </c>
      <c r="L32"/>
      <c r="M32" s="12" t="s">
        <v>313</v>
      </c>
      <c r="N32">
        <v>18</v>
      </c>
      <c r="O32" t="str">
        <f t="shared" si="0"/>
        <v>Tahoua</v>
      </c>
      <c r="P32">
        <v>6</v>
      </c>
      <c r="Q32" s="36">
        <f>P32/P33</f>
        <v>0.33333333333333331</v>
      </c>
      <c r="R32"/>
    </row>
    <row r="33" spans="7:18" x14ac:dyDescent="0.25">
      <c r="G33" s="12" t="s">
        <v>27</v>
      </c>
      <c r="H33">
        <v>1</v>
      </c>
      <c r="I33"/>
      <c r="J33" s="12" t="s">
        <v>38</v>
      </c>
      <c r="K33">
        <v>6</v>
      </c>
      <c r="L33"/>
      <c r="M33" s="12" t="s">
        <v>316</v>
      </c>
      <c r="N33">
        <v>16</v>
      </c>
      <c r="O33" t="str">
        <f t="shared" si="0"/>
        <v>Tillaberi</v>
      </c>
      <c r="P33">
        <v>18</v>
      </c>
      <c r="Q33" s="36">
        <f>P33/P36</f>
        <v>0.31034482758620691</v>
      </c>
      <c r="R33"/>
    </row>
    <row r="34" spans="7:18" x14ac:dyDescent="0.25">
      <c r="G34" s="12" t="s">
        <v>294</v>
      </c>
      <c r="H34">
        <v>1</v>
      </c>
      <c r="I34"/>
      <c r="J34" s="12" t="s">
        <v>44</v>
      </c>
      <c r="K34">
        <v>58</v>
      </c>
      <c r="L34"/>
      <c r="M34" s="12" t="s">
        <v>319</v>
      </c>
      <c r="N34">
        <v>13</v>
      </c>
      <c r="O34" t="str">
        <f t="shared" si="0"/>
        <v>Zinder</v>
      </c>
      <c r="P34">
        <v>16</v>
      </c>
      <c r="Q34" s="36">
        <f>P34/P36</f>
        <v>0.27586206896551724</v>
      </c>
    </row>
    <row r="35" spans="7:18" x14ac:dyDescent="0.25">
      <c r="G35" s="12" t="s">
        <v>168</v>
      </c>
      <c r="H35">
        <v>1</v>
      </c>
      <c r="I35"/>
      <c r="J35"/>
      <c r="K35"/>
      <c r="L35"/>
      <c r="M35" s="12" t="s">
        <v>44</v>
      </c>
      <c r="N35">
        <v>58</v>
      </c>
      <c r="O35" t="str">
        <f t="shared" si="0"/>
        <v>Grand Total</v>
      </c>
      <c r="P35">
        <v>13</v>
      </c>
      <c r="Q35" s="36">
        <f>P35/P36</f>
        <v>0.22413793103448276</v>
      </c>
    </row>
    <row r="36" spans="7:18" x14ac:dyDescent="0.25">
      <c r="G36" s="12" t="s">
        <v>26</v>
      </c>
      <c r="H36">
        <v>2</v>
      </c>
      <c r="I36"/>
      <c r="J36"/>
      <c r="K36"/>
      <c r="L36"/>
      <c r="M36"/>
      <c r="N36"/>
      <c r="O36">
        <f t="shared" si="0"/>
        <v>0</v>
      </c>
      <c r="P36">
        <f>GETPIVOTDATA("Serial Number",$M$27)</f>
        <v>58</v>
      </c>
      <c r="Q36"/>
    </row>
    <row r="37" spans="7:18" x14ac:dyDescent="0.25">
      <c r="G37" s="12" t="s">
        <v>23</v>
      </c>
      <c r="H37">
        <v>6</v>
      </c>
      <c r="I37"/>
      <c r="J37"/>
      <c r="K37"/>
      <c r="L37"/>
      <c r="M37"/>
      <c r="N37"/>
      <c r="O37"/>
      <c r="P37"/>
      <c r="Q37"/>
    </row>
    <row r="38" spans="7:18" x14ac:dyDescent="0.25">
      <c r="G38" s="12" t="s">
        <v>44</v>
      </c>
      <c r="H38">
        <v>58</v>
      </c>
      <c r="I38"/>
      <c r="J38"/>
      <c r="K38"/>
      <c r="L38"/>
      <c r="M38"/>
      <c r="N38"/>
      <c r="O38"/>
      <c r="P38"/>
      <c r="Q38"/>
    </row>
    <row r="39" spans="7:18" x14ac:dyDescent="0.25">
      <c r="G39"/>
      <c r="H39"/>
      <c r="I39"/>
      <c r="J39"/>
      <c r="K39"/>
      <c r="L39"/>
      <c r="M39"/>
      <c r="N39"/>
      <c r="O39"/>
      <c r="P39"/>
      <c r="Q39"/>
    </row>
    <row r="40" spans="7:18" x14ac:dyDescent="0.25">
      <c r="G40"/>
      <c r="H40"/>
      <c r="I40"/>
      <c r="J40"/>
      <c r="K40"/>
      <c r="L40"/>
      <c r="M40"/>
      <c r="N40"/>
      <c r="O40"/>
      <c r="P40"/>
      <c r="Q40"/>
    </row>
    <row r="41" spans="7:18" x14ac:dyDescent="0.25">
      <c r="G41"/>
      <c r="H41"/>
      <c r="I41"/>
      <c r="J41"/>
      <c r="K41"/>
      <c r="L41"/>
      <c r="M41"/>
      <c r="N41"/>
      <c r="O41"/>
      <c r="P41"/>
      <c r="Q41"/>
    </row>
    <row r="42" spans="7:18" x14ac:dyDescent="0.25">
      <c r="G42"/>
      <c r="H42"/>
      <c r="I42"/>
      <c r="J42"/>
      <c r="K42"/>
      <c r="L42"/>
      <c r="M42"/>
      <c r="N42"/>
      <c r="O42"/>
    </row>
    <row r="43" spans="7:18" x14ac:dyDescent="0.25">
      <c r="G43"/>
      <c r="H43"/>
      <c r="I43"/>
      <c r="J43"/>
      <c r="K43"/>
      <c r="L43"/>
      <c r="M43"/>
      <c r="N43"/>
      <c r="O43"/>
    </row>
    <row r="44" spans="7:18" x14ac:dyDescent="0.25">
      <c r="G44"/>
      <c r="H44"/>
      <c r="I44"/>
      <c r="J44"/>
      <c r="K44"/>
      <c r="L44"/>
      <c r="M44"/>
      <c r="N44"/>
      <c r="O44"/>
    </row>
    <row r="45" spans="7:18" x14ac:dyDescent="0.25">
      <c r="J45"/>
      <c r="M45"/>
    </row>
    <row r="46" spans="7:18" x14ac:dyDescent="0.25">
      <c r="J46"/>
      <c r="M46"/>
    </row>
    <row r="47" spans="7:18" x14ac:dyDescent="0.25">
      <c r="J47"/>
      <c r="M47"/>
    </row>
    <row r="48" spans="7:18" x14ac:dyDescent="0.25">
      <c r="J48"/>
      <c r="M48"/>
    </row>
    <row r="49" spans="10:13" x14ac:dyDescent="0.25">
      <c r="J49"/>
      <c r="M49"/>
    </row>
    <row r="50" spans="10:13" x14ac:dyDescent="0.25">
      <c r="J50"/>
      <c r="M50"/>
    </row>
    <row r="51" spans="10:13" x14ac:dyDescent="0.25">
      <c r="J51"/>
      <c r="M51"/>
    </row>
    <row r="52" spans="10:13" x14ac:dyDescent="0.25">
      <c r="J52"/>
      <c r="M52"/>
    </row>
    <row r="53" spans="10:13" x14ac:dyDescent="0.25">
      <c r="M53"/>
    </row>
    <row r="54" spans="10:13" x14ac:dyDescent="0.25">
      <c r="M54"/>
    </row>
    <row r="55" spans="10:13" x14ac:dyDescent="0.25">
      <c r="M55"/>
    </row>
    <row r="56" spans="10:13" x14ac:dyDescent="0.25">
      <c r="M56"/>
    </row>
    <row r="57" spans="10:13" x14ac:dyDescent="0.25">
      <c r="M57"/>
    </row>
    <row r="58" spans="10:13" x14ac:dyDescent="0.25">
      <c r="M58"/>
    </row>
    <row r="59" spans="10:13" x14ac:dyDescent="0.25">
      <c r="M59"/>
    </row>
    <row r="60" spans="10:13" x14ac:dyDescent="0.25">
      <c r="M60"/>
    </row>
    <row r="61" spans="10:13" x14ac:dyDescent="0.25">
      <c r="M61"/>
    </row>
    <row r="62" spans="10:13" x14ac:dyDescent="0.25">
      <c r="M62"/>
    </row>
    <row r="63" spans="10:13" x14ac:dyDescent="0.25">
      <c r="M63"/>
    </row>
  </sheetData>
  <sheetProtection selectLockedCells="1" selectUnlockedCells="1"/>
  <mergeCells count="1">
    <mergeCell ref="H9:P10"/>
  </mergeCells>
  <pageMargins left="0.7" right="0.7" top="0.75" bottom="0.75" header="0.3" footer="0.3"/>
  <drawing r:id="rId7"/>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69749A-CEC9-4385-A260-C0EF8C656D18}">
  <sheetPr codeName="Sheet2"/>
  <dimension ref="H8:W9"/>
  <sheetViews>
    <sheetView showGridLines="0" zoomScale="80" zoomScaleNormal="80" workbookViewId="0"/>
  </sheetViews>
  <sheetFormatPr defaultColWidth="8.7109375" defaultRowHeight="15" x14ac:dyDescent="0.25"/>
  <cols>
    <col min="1" max="16384" width="8.7109375" style="4"/>
  </cols>
  <sheetData>
    <row r="8" spans="8:23" x14ac:dyDescent="0.25">
      <c r="H8" s="60" t="s">
        <v>2</v>
      </c>
      <c r="I8" s="61"/>
      <c r="J8" s="61"/>
      <c r="K8" s="61"/>
      <c r="L8" s="61"/>
      <c r="M8" s="61"/>
      <c r="N8" s="61"/>
      <c r="O8" s="61"/>
      <c r="P8" s="61"/>
      <c r="Q8" s="61"/>
      <c r="R8" s="61"/>
      <c r="S8" s="61"/>
      <c r="T8" s="61"/>
      <c r="U8" s="61"/>
      <c r="V8" s="61"/>
      <c r="W8" s="61"/>
    </row>
    <row r="9" spans="8:23" x14ac:dyDescent="0.25">
      <c r="H9" s="62"/>
      <c r="I9" s="62"/>
      <c r="J9" s="62"/>
      <c r="K9" s="62"/>
      <c r="L9" s="62"/>
      <c r="M9" s="62"/>
      <c r="N9" s="62"/>
      <c r="O9" s="62"/>
      <c r="P9" s="62"/>
      <c r="Q9" s="62"/>
      <c r="R9" s="62"/>
      <c r="S9" s="62"/>
      <c r="T9" s="62"/>
      <c r="U9" s="62"/>
      <c r="V9" s="62"/>
      <c r="W9" s="62"/>
    </row>
  </sheetData>
  <sheetProtection selectLockedCells="1" selectUnlockedCells="1"/>
  <mergeCells count="1">
    <mergeCell ref="H8:W9"/>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refreshing">
                <anchor moveWithCells="1" sizeWithCells="1">
                  <from>
                    <xdr:col>18</xdr:col>
                    <xdr:colOff>142875</xdr:colOff>
                    <xdr:row>11</xdr:row>
                    <xdr:rowOff>57150</xdr:rowOff>
                  </from>
                  <to>
                    <xdr:col>20</xdr:col>
                    <xdr:colOff>38100</xdr:colOff>
                    <xdr:row>12</xdr:row>
                    <xdr:rowOff>142875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06209-F407-4662-9CED-2ACE87283C57}">
  <sheetPr codeName="Sheet11"/>
  <dimension ref="E9:W57"/>
  <sheetViews>
    <sheetView showGridLines="0" zoomScale="80" zoomScaleNormal="80" workbookViewId="0">
      <selection activeCell="K29" sqref="K29"/>
    </sheetView>
  </sheetViews>
  <sheetFormatPr defaultColWidth="8.85546875" defaultRowHeight="15" x14ac:dyDescent="0.25"/>
  <cols>
    <col min="1" max="6" width="8.85546875" style="4"/>
    <col min="7" max="7" width="15.42578125" style="4" customWidth="1"/>
    <col min="8" max="8" width="8.85546875" style="4" customWidth="1"/>
    <col min="9" max="9" width="12.42578125" style="4" customWidth="1"/>
    <col min="10" max="10" width="8.85546875" style="4"/>
    <col min="11" max="11" width="23.28515625" style="4" bestFit="1" customWidth="1"/>
    <col min="12" max="16384" width="8.85546875" style="4"/>
  </cols>
  <sheetData>
    <row r="9" spans="5:23" x14ac:dyDescent="0.25">
      <c r="E9" s="63" t="s">
        <v>50</v>
      </c>
      <c r="F9" s="63"/>
      <c r="G9" s="63"/>
      <c r="H9" s="63"/>
      <c r="I9" s="63"/>
      <c r="J9" s="63"/>
      <c r="K9" s="63"/>
      <c r="L9" s="63"/>
      <c r="M9" s="63"/>
      <c r="N9" s="63"/>
      <c r="O9" s="63"/>
      <c r="P9" s="63"/>
      <c r="Q9" s="63"/>
      <c r="R9" s="63"/>
      <c r="S9" s="63"/>
      <c r="T9" s="63"/>
      <c r="U9" s="63"/>
      <c r="V9" s="63"/>
      <c r="W9" s="63"/>
    </row>
    <row r="10" spans="5:23" x14ac:dyDescent="0.25">
      <c r="E10" s="64"/>
      <c r="F10" s="64"/>
      <c r="G10" s="64"/>
      <c r="H10" s="64"/>
      <c r="I10" s="64"/>
      <c r="J10" s="64"/>
      <c r="K10" s="64"/>
      <c r="L10" s="64"/>
      <c r="M10" s="64"/>
      <c r="N10" s="64"/>
      <c r="O10" s="64"/>
      <c r="P10" s="64"/>
      <c r="Q10" s="64"/>
      <c r="R10" s="64"/>
      <c r="S10" s="64"/>
      <c r="T10" s="64"/>
      <c r="U10" s="64"/>
      <c r="V10" s="64"/>
      <c r="W10" s="64"/>
    </row>
    <row r="16" spans="5:23" ht="30" x14ac:dyDescent="0.25">
      <c r="E16" s="6"/>
      <c r="G16" s="38" t="s">
        <v>19</v>
      </c>
      <c r="H16" s="39"/>
      <c r="I16" s="38" t="s">
        <v>132</v>
      </c>
      <c r="J16" s="39"/>
      <c r="K16" s="40" t="s">
        <v>3</v>
      </c>
    </row>
    <row r="17" spans="7:11" x14ac:dyDescent="0.25">
      <c r="G17" s="45" t="s">
        <v>415</v>
      </c>
      <c r="I17" s="45" t="s">
        <v>38</v>
      </c>
      <c r="K17" s="45" t="s">
        <v>4</v>
      </c>
    </row>
    <row r="18" spans="7:11" x14ac:dyDescent="0.25">
      <c r="G18" s="45" t="s">
        <v>416</v>
      </c>
      <c r="I18" s="45" t="s">
        <v>165</v>
      </c>
      <c r="K18" s="45" t="s">
        <v>5</v>
      </c>
    </row>
    <row r="19" spans="7:11" x14ac:dyDescent="0.25">
      <c r="G19" s="45" t="s">
        <v>416</v>
      </c>
      <c r="I19" s="45" t="s">
        <v>166</v>
      </c>
      <c r="K19" s="45" t="s">
        <v>6</v>
      </c>
    </row>
    <row r="20" spans="7:11" x14ac:dyDescent="0.25">
      <c r="G20" s="45" t="s">
        <v>417</v>
      </c>
      <c r="I20" s="45" t="s">
        <v>167</v>
      </c>
      <c r="K20" s="45" t="s">
        <v>7</v>
      </c>
    </row>
    <row r="21" spans="7:11" x14ac:dyDescent="0.25">
      <c r="G21" s="45" t="s">
        <v>289</v>
      </c>
      <c r="I21" s="45" t="s">
        <v>25</v>
      </c>
      <c r="K21" s="45" t="s">
        <v>8</v>
      </c>
    </row>
    <row r="22" spans="7:11" x14ac:dyDescent="0.25">
      <c r="G22" s="45" t="s">
        <v>418</v>
      </c>
      <c r="I22" s="45" t="s">
        <v>289</v>
      </c>
      <c r="K22" s="45" t="s">
        <v>9</v>
      </c>
    </row>
    <row r="23" spans="7:11" x14ac:dyDescent="0.25">
      <c r="G23" s="45"/>
      <c r="I23" s="45"/>
      <c r="K23" s="45" t="s">
        <v>4</v>
      </c>
    </row>
    <row r="24" spans="7:11" x14ac:dyDescent="0.25">
      <c r="G24" s="45"/>
      <c r="I24" s="45"/>
      <c r="K24" s="45" t="s">
        <v>5</v>
      </c>
    </row>
    <row r="25" spans="7:11" x14ac:dyDescent="0.25">
      <c r="G25" s="45"/>
      <c r="I25" s="45"/>
      <c r="K25" s="45" t="s">
        <v>11</v>
      </c>
    </row>
    <row r="26" spans="7:11" x14ac:dyDescent="0.25">
      <c r="G26" s="45"/>
      <c r="I26" s="45"/>
      <c r="K26" s="45" t="s">
        <v>12</v>
      </c>
    </row>
    <row r="27" spans="7:11" x14ac:dyDescent="0.25">
      <c r="G27" s="45"/>
      <c r="I27" s="45"/>
      <c r="K27" s="45" t="s">
        <v>13</v>
      </c>
    </row>
    <row r="28" spans="7:11" x14ac:dyDescent="0.25">
      <c r="G28" s="45"/>
      <c r="I28" s="45"/>
      <c r="K28" s="45" t="s">
        <v>14</v>
      </c>
    </row>
    <row r="29" spans="7:11" x14ac:dyDescent="0.25">
      <c r="G29" s="45"/>
      <c r="I29" s="45"/>
      <c r="K29" s="45"/>
    </row>
    <row r="30" spans="7:11" x14ac:dyDescent="0.25">
      <c r="G30" s="45"/>
      <c r="I30" s="45"/>
      <c r="K30" s="45"/>
    </row>
    <row r="31" spans="7:11" x14ac:dyDescent="0.25">
      <c r="G31" s="45"/>
      <c r="I31" s="45"/>
      <c r="K31" s="45"/>
    </row>
    <row r="32" spans="7:11" x14ac:dyDescent="0.25">
      <c r="G32" s="45"/>
      <c r="I32" s="45"/>
      <c r="K32" s="45"/>
    </row>
    <row r="33" spans="7:12" x14ac:dyDescent="0.25">
      <c r="G33" s="45"/>
      <c r="I33" s="45"/>
      <c r="K33" s="45"/>
    </row>
    <row r="34" spans="7:12" x14ac:dyDescent="0.25">
      <c r="G34" s="45"/>
      <c r="I34" s="45"/>
      <c r="K34" s="45"/>
    </row>
    <row r="35" spans="7:12" x14ac:dyDescent="0.25">
      <c r="G35" s="45"/>
      <c r="I35" s="45"/>
      <c r="K35" s="45"/>
    </row>
    <row r="36" spans="7:12" x14ac:dyDescent="0.25">
      <c r="G36" s="45"/>
      <c r="I36" s="45"/>
      <c r="K36" s="45"/>
    </row>
    <row r="37" spans="7:12" x14ac:dyDescent="0.25">
      <c r="G37" s="45"/>
      <c r="I37" s="45"/>
      <c r="K37" s="45"/>
    </row>
    <row r="38" spans="7:12" x14ac:dyDescent="0.25">
      <c r="G38" s="45"/>
      <c r="I38" s="45"/>
      <c r="K38" s="45"/>
      <c r="L38" s="4" t="s">
        <v>41</v>
      </c>
    </row>
    <row r="39" spans="7:12" x14ac:dyDescent="0.25">
      <c r="G39" s="45"/>
      <c r="I39" s="45"/>
      <c r="K39" s="45"/>
    </row>
    <row r="40" spans="7:12" x14ac:dyDescent="0.25">
      <c r="G40" s="45"/>
      <c r="I40" s="45"/>
      <c r="K40" s="45"/>
    </row>
    <row r="41" spans="7:12" x14ac:dyDescent="0.25">
      <c r="G41" s="45"/>
      <c r="I41" s="45"/>
      <c r="K41" s="45"/>
    </row>
    <row r="42" spans="7:12" x14ac:dyDescent="0.25">
      <c r="G42" s="45"/>
      <c r="I42" s="45"/>
      <c r="K42" s="45"/>
    </row>
    <row r="43" spans="7:12" x14ac:dyDescent="0.25">
      <c r="G43" s="45"/>
      <c r="I43" s="45"/>
      <c r="K43" s="45"/>
    </row>
    <row r="44" spans="7:12" x14ac:dyDescent="0.25">
      <c r="G44" s="45"/>
      <c r="I44" s="45"/>
      <c r="K44" s="45"/>
    </row>
    <row r="45" spans="7:12" x14ac:dyDescent="0.25">
      <c r="G45" s="45"/>
      <c r="I45" s="45"/>
      <c r="K45" s="45"/>
    </row>
    <row r="46" spans="7:12" x14ac:dyDescent="0.25">
      <c r="G46" s="45"/>
      <c r="I46" s="45"/>
      <c r="K46" s="45"/>
    </row>
    <row r="47" spans="7:12" x14ac:dyDescent="0.25">
      <c r="G47" s="45"/>
      <c r="I47" s="45"/>
      <c r="K47" s="45"/>
    </row>
    <row r="48" spans="7:12" x14ac:dyDescent="0.25">
      <c r="G48" s="45"/>
      <c r="I48" s="45"/>
      <c r="K48" s="45"/>
    </row>
    <row r="49" spans="7:11" x14ac:dyDescent="0.25">
      <c r="G49" s="45"/>
      <c r="I49" s="45"/>
      <c r="K49" s="45"/>
    </row>
    <row r="50" spans="7:11" x14ac:dyDescent="0.25">
      <c r="G50" s="45"/>
      <c r="I50" s="45"/>
      <c r="K50" s="45"/>
    </row>
    <row r="51" spans="7:11" x14ac:dyDescent="0.25">
      <c r="G51" s="45"/>
      <c r="I51" s="45"/>
      <c r="K51" s="45"/>
    </row>
    <row r="52" spans="7:11" x14ac:dyDescent="0.25">
      <c r="G52" s="45"/>
      <c r="I52" s="45"/>
      <c r="K52" s="45"/>
    </row>
    <row r="53" spans="7:11" x14ac:dyDescent="0.25">
      <c r="G53" s="45"/>
      <c r="I53" s="45"/>
      <c r="K53" s="45"/>
    </row>
    <row r="54" spans="7:11" x14ac:dyDescent="0.25">
      <c r="G54" s="45"/>
      <c r="I54" s="45"/>
      <c r="K54" s="45"/>
    </row>
    <row r="55" spans="7:11" x14ac:dyDescent="0.25">
      <c r="G55" s="45"/>
      <c r="I55" s="45"/>
      <c r="K55" s="45"/>
    </row>
    <row r="56" spans="7:11" x14ac:dyDescent="0.25">
      <c r="G56" s="45"/>
      <c r="I56" s="45"/>
      <c r="K56" s="45"/>
    </row>
    <row r="57" spans="7:11" ht="15.75" thickBot="1" x14ac:dyDescent="0.3">
      <c r="G57" s="46"/>
      <c r="I57" s="46"/>
      <c r="K57" s="46"/>
    </row>
  </sheetData>
  <mergeCells count="1">
    <mergeCell ref="E9:W10"/>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C4CF8-EA45-4F50-9EA9-701730380533}">
  <sheetPr codeName="Sheet6"/>
  <dimension ref="B8:Y66"/>
  <sheetViews>
    <sheetView zoomScale="70" zoomScaleNormal="70" workbookViewId="0">
      <selection activeCell="E8" sqref="E8"/>
    </sheetView>
  </sheetViews>
  <sheetFormatPr defaultRowHeight="15" x14ac:dyDescent="0.25"/>
  <cols>
    <col min="4" max="4" width="32.5703125" customWidth="1"/>
    <col min="5" max="5" width="42.5703125" customWidth="1"/>
    <col min="6" max="6" width="43.140625" bestFit="1" customWidth="1"/>
    <col min="7" max="7" width="47.42578125" bestFit="1" customWidth="1"/>
    <col min="8" max="8" width="10" customWidth="1"/>
    <col min="9" max="9" width="10.7109375" style="1" customWidth="1"/>
    <col min="10" max="10" width="32.28515625" style="2" customWidth="1"/>
    <col min="11" max="11" width="39.7109375" bestFit="1" customWidth="1"/>
    <col min="12" max="12" width="36" customWidth="1"/>
    <col min="13" max="13" width="32.140625" customWidth="1"/>
    <col min="14" max="14" width="36.28515625" customWidth="1"/>
    <col min="15" max="15" width="40.28515625" customWidth="1"/>
    <col min="16" max="16" width="50.28515625" bestFit="1" customWidth="1"/>
    <col min="17" max="17" width="51.5703125" bestFit="1" customWidth="1"/>
    <col min="18" max="18" width="23" style="3" bestFit="1" customWidth="1"/>
    <col min="19" max="19" width="39.28515625" customWidth="1"/>
    <col min="20" max="20" width="44.85546875" style="1" bestFit="1" customWidth="1"/>
    <col min="21" max="21" width="31.140625" customWidth="1"/>
    <col min="22" max="22" width="27.28515625" customWidth="1"/>
    <col min="23" max="23" width="53" bestFit="1" customWidth="1"/>
    <col min="24" max="24" width="39" bestFit="1" customWidth="1"/>
    <col min="25" max="25" width="46.42578125" style="1" bestFit="1" customWidth="1"/>
    <col min="26" max="26" width="28.7109375" customWidth="1"/>
    <col min="27" max="27" width="26.5703125" customWidth="1"/>
    <col min="28" max="28" width="11.5703125" bestFit="1" customWidth="1"/>
  </cols>
  <sheetData>
    <row r="8" spans="4:25" ht="27" x14ac:dyDescent="0.35">
      <c r="D8" s="17" t="s">
        <v>15</v>
      </c>
      <c r="E8" s="17" t="s">
        <v>147</v>
      </c>
      <c r="F8" s="17" t="s">
        <v>21</v>
      </c>
      <c r="G8" s="17" t="s">
        <v>148</v>
      </c>
      <c r="H8" s="17" t="s">
        <v>149</v>
      </c>
      <c r="I8" s="18" t="s">
        <v>157</v>
      </c>
      <c r="J8" s="19" t="s">
        <v>18</v>
      </c>
      <c r="K8" s="17" t="s">
        <v>19</v>
      </c>
      <c r="L8" s="17" t="s">
        <v>150</v>
      </c>
      <c r="M8" s="17" t="s">
        <v>16</v>
      </c>
      <c r="N8" s="17" t="s">
        <v>17</v>
      </c>
      <c r="O8" s="17" t="s">
        <v>141</v>
      </c>
      <c r="P8" s="17" t="s">
        <v>152</v>
      </c>
      <c r="Q8" s="17" t="s">
        <v>153</v>
      </c>
      <c r="R8" s="20" t="s">
        <v>131</v>
      </c>
      <c r="S8" s="17" t="s">
        <v>132</v>
      </c>
      <c r="T8" s="18" t="s">
        <v>154</v>
      </c>
      <c r="U8" s="17" t="s">
        <v>155</v>
      </c>
      <c r="V8" s="17" t="s">
        <v>133</v>
      </c>
      <c r="W8" s="17" t="s">
        <v>22</v>
      </c>
      <c r="X8" s="17" t="s">
        <v>156</v>
      </c>
      <c r="Y8" s="18" t="s">
        <v>20</v>
      </c>
    </row>
    <row r="9" spans="4:25" x14ac:dyDescent="0.25">
      <c r="D9" s="23">
        <v>1</v>
      </c>
      <c r="E9" s="24" t="s">
        <v>36</v>
      </c>
      <c r="F9" s="24" t="s">
        <v>36</v>
      </c>
      <c r="G9" s="24" t="s">
        <v>36</v>
      </c>
      <c r="H9" s="24" t="s">
        <v>158</v>
      </c>
      <c r="I9" s="24" t="s">
        <v>159</v>
      </c>
      <c r="J9" s="24" t="s">
        <v>288</v>
      </c>
      <c r="K9" s="24" t="s">
        <v>416</v>
      </c>
      <c r="L9" s="27">
        <v>233594056041</v>
      </c>
      <c r="M9" s="24" t="s">
        <v>37</v>
      </c>
      <c r="N9" s="24" t="s">
        <v>36</v>
      </c>
      <c r="O9" s="24" t="s">
        <v>301</v>
      </c>
      <c r="P9" s="31" t="s">
        <v>36</v>
      </c>
      <c r="Q9" s="2">
        <v>2</v>
      </c>
      <c r="R9" s="24" t="s">
        <v>36</v>
      </c>
      <c r="S9" s="24" t="s">
        <v>38</v>
      </c>
      <c r="T9" s="33">
        <v>45690</v>
      </c>
      <c r="U9" s="24" t="s">
        <v>36</v>
      </c>
      <c r="V9" s="24" t="s">
        <v>36</v>
      </c>
      <c r="W9" s="24">
        <v>5</v>
      </c>
      <c r="X9" s="33" t="s">
        <v>369</v>
      </c>
      <c r="Y9" s="24" t="s">
        <v>8</v>
      </c>
    </row>
    <row r="10" spans="4:25" x14ac:dyDescent="0.25">
      <c r="D10">
        <v>0</v>
      </c>
      <c r="E10">
        <v>0</v>
      </c>
      <c r="F10">
        <v>0</v>
      </c>
      <c r="G10">
        <v>0</v>
      </c>
      <c r="H10" t="s">
        <v>158</v>
      </c>
      <c r="I10" t="s">
        <v>412</v>
      </c>
      <c r="J10">
        <v>0</v>
      </c>
      <c r="K10" t="s">
        <v>160</v>
      </c>
      <c r="L10">
        <v>0</v>
      </c>
      <c r="M10">
        <v>0</v>
      </c>
      <c r="N10">
        <v>0</v>
      </c>
      <c r="O10" t="s">
        <v>304</v>
      </c>
      <c r="P10">
        <v>0</v>
      </c>
      <c r="Q10" s="2">
        <v>0</v>
      </c>
      <c r="R10">
        <v>0</v>
      </c>
      <c r="S10" t="s">
        <v>38</v>
      </c>
      <c r="T10" s="1">
        <v>0</v>
      </c>
      <c r="U10">
        <v>0</v>
      </c>
      <c r="V10">
        <v>0</v>
      </c>
      <c r="W10">
        <v>0</v>
      </c>
      <c r="X10" s="1">
        <v>0</v>
      </c>
      <c r="Y10">
        <v>0</v>
      </c>
    </row>
    <row r="11" spans="4:25" x14ac:dyDescent="0.25">
      <c r="D11" t="s">
        <v>36</v>
      </c>
      <c r="E11" t="s">
        <v>36</v>
      </c>
      <c r="F11" t="s">
        <v>36</v>
      </c>
      <c r="G11" t="s">
        <v>36</v>
      </c>
      <c r="H11" t="s">
        <v>158</v>
      </c>
      <c r="I11" t="s">
        <v>159</v>
      </c>
      <c r="J11" t="s">
        <v>28</v>
      </c>
      <c r="K11" t="s">
        <v>160</v>
      </c>
      <c r="L11">
        <v>594056000</v>
      </c>
      <c r="M11" t="s">
        <v>37</v>
      </c>
      <c r="N11" t="s">
        <v>45</v>
      </c>
      <c r="O11" t="s">
        <v>304</v>
      </c>
      <c r="P11" t="s">
        <v>161</v>
      </c>
      <c r="Q11" s="2">
        <v>2</v>
      </c>
      <c r="R11" t="s">
        <v>45</v>
      </c>
      <c r="S11" t="s">
        <v>38</v>
      </c>
      <c r="T11" s="1">
        <v>36526</v>
      </c>
      <c r="U11" t="s">
        <v>45</v>
      </c>
      <c r="V11" t="s">
        <v>162</v>
      </c>
      <c r="W11" t="s">
        <v>163</v>
      </c>
      <c r="X11" s="1">
        <v>36526</v>
      </c>
      <c r="Y11" t="s">
        <v>5</v>
      </c>
    </row>
    <row r="12" spans="4:25" x14ac:dyDescent="0.25">
      <c r="D12" s="23">
        <v>232323</v>
      </c>
      <c r="E12" s="24" t="s">
        <v>169</v>
      </c>
      <c r="F12" s="24" t="s">
        <v>170</v>
      </c>
      <c r="G12" s="24">
        <v>0</v>
      </c>
      <c r="H12" s="24" t="s">
        <v>410</v>
      </c>
      <c r="I12" s="24" t="s">
        <v>159</v>
      </c>
      <c r="J12" s="24" t="s">
        <v>28</v>
      </c>
      <c r="K12" s="24" t="s">
        <v>416</v>
      </c>
      <c r="L12" s="28">
        <v>99755999</v>
      </c>
      <c r="M12" s="24" t="s">
        <v>295</v>
      </c>
      <c r="N12" s="24" t="s">
        <v>296</v>
      </c>
      <c r="O12" s="24" t="s">
        <v>304</v>
      </c>
      <c r="P12" s="24" t="s">
        <v>322</v>
      </c>
      <c r="Q12" s="2">
        <v>1</v>
      </c>
      <c r="R12" s="24" t="s">
        <v>45</v>
      </c>
      <c r="S12" s="24" t="s">
        <v>25</v>
      </c>
      <c r="T12" s="24">
        <v>41815</v>
      </c>
      <c r="U12" s="24" t="s">
        <v>358</v>
      </c>
      <c r="V12" s="24" t="s">
        <v>359</v>
      </c>
      <c r="W12" s="24" t="s">
        <v>360</v>
      </c>
      <c r="X12" s="24" t="s">
        <v>361</v>
      </c>
      <c r="Y12" s="24" t="s">
        <v>4</v>
      </c>
    </row>
    <row r="13" spans="4:25" x14ac:dyDescent="0.25">
      <c r="D13" s="25">
        <v>1232</v>
      </c>
      <c r="E13" s="26" t="s">
        <v>171</v>
      </c>
      <c r="F13" s="26" t="s">
        <v>172</v>
      </c>
      <c r="G13" s="26" t="s">
        <v>173</v>
      </c>
      <c r="H13" s="26" t="s">
        <v>410</v>
      </c>
      <c r="I13" s="26" t="s">
        <v>159</v>
      </c>
      <c r="J13" s="26" t="s">
        <v>288</v>
      </c>
      <c r="K13" s="26" t="s">
        <v>294</v>
      </c>
      <c r="L13" s="26">
        <v>12324354</v>
      </c>
      <c r="M13" s="26" t="s">
        <v>297</v>
      </c>
      <c r="N13" s="26" t="s">
        <v>298</v>
      </c>
      <c r="O13" s="26" t="s">
        <v>304</v>
      </c>
      <c r="P13" s="26">
        <v>2064215432</v>
      </c>
      <c r="Q13" s="2">
        <v>8</v>
      </c>
      <c r="R13" s="26" t="s">
        <v>353</v>
      </c>
      <c r="S13" s="26" t="s">
        <v>166</v>
      </c>
      <c r="T13" s="26">
        <v>37299</v>
      </c>
      <c r="U13" s="26" t="s">
        <v>362</v>
      </c>
      <c r="V13" s="26" t="s">
        <v>363</v>
      </c>
      <c r="W13" s="26">
        <v>123</v>
      </c>
      <c r="X13" s="26">
        <v>38395</v>
      </c>
      <c r="Y13" s="26" t="s">
        <v>9</v>
      </c>
    </row>
    <row r="14" spans="4:25" x14ac:dyDescent="0.25">
      <c r="D14" s="23">
        <v>2245</v>
      </c>
      <c r="E14" s="24" t="s">
        <v>174</v>
      </c>
      <c r="F14" s="24" t="s">
        <v>175</v>
      </c>
      <c r="G14" s="24">
        <v>0</v>
      </c>
      <c r="H14" s="24" t="s">
        <v>158</v>
      </c>
      <c r="I14" s="24" t="s">
        <v>159</v>
      </c>
      <c r="J14" s="24" t="s">
        <v>289</v>
      </c>
      <c r="K14" s="24" t="s">
        <v>289</v>
      </c>
      <c r="L14" s="28">
        <v>99755999</v>
      </c>
      <c r="M14" s="24" t="s">
        <v>299</v>
      </c>
      <c r="N14" s="24" t="s">
        <v>300</v>
      </c>
      <c r="O14" s="24" t="s">
        <v>304</v>
      </c>
      <c r="P14" s="24">
        <v>221478</v>
      </c>
      <c r="Q14" s="2">
        <v>6</v>
      </c>
      <c r="R14" s="24" t="s">
        <v>354</v>
      </c>
      <c r="S14" s="24" t="s">
        <v>38</v>
      </c>
      <c r="T14" s="24">
        <v>42111</v>
      </c>
      <c r="U14" s="24" t="s">
        <v>364</v>
      </c>
      <c r="V14" s="24" t="s">
        <v>359</v>
      </c>
      <c r="W14" s="24" t="s">
        <v>366</v>
      </c>
      <c r="X14" s="24">
        <v>37319</v>
      </c>
      <c r="Y14" s="24" t="s">
        <v>4</v>
      </c>
    </row>
    <row r="15" spans="4:25" x14ac:dyDescent="0.25">
      <c r="D15" s="25">
        <v>1</v>
      </c>
      <c r="E15" s="26" t="s">
        <v>176</v>
      </c>
      <c r="F15" s="26" t="s">
        <v>177</v>
      </c>
      <c r="G15" s="26" t="s">
        <v>178</v>
      </c>
      <c r="H15" s="26" t="s">
        <v>158</v>
      </c>
      <c r="I15" s="26" t="s">
        <v>159</v>
      </c>
      <c r="J15" s="26" t="s">
        <v>288</v>
      </c>
      <c r="K15" s="26" t="s">
        <v>23</v>
      </c>
      <c r="L15" s="28">
        <v>99755999</v>
      </c>
      <c r="M15" s="26" t="s">
        <v>37</v>
      </c>
      <c r="N15" s="26" t="s">
        <v>45</v>
      </c>
      <c r="O15" s="26" t="s">
        <v>304</v>
      </c>
      <c r="P15" s="26">
        <v>34232423232323</v>
      </c>
      <c r="Q15" s="2">
        <v>4</v>
      </c>
      <c r="R15" s="26" t="s">
        <v>45</v>
      </c>
      <c r="S15" s="26" t="s">
        <v>38</v>
      </c>
      <c r="T15" s="26">
        <v>45658</v>
      </c>
      <c r="U15" s="26" t="s">
        <v>45</v>
      </c>
      <c r="V15" s="26" t="s">
        <v>45</v>
      </c>
      <c r="W15" s="26">
        <v>343434</v>
      </c>
      <c r="X15" s="26">
        <v>45658</v>
      </c>
      <c r="Y15" s="26" t="s">
        <v>10</v>
      </c>
    </row>
    <row r="16" spans="4:25" x14ac:dyDescent="0.25">
      <c r="D16" s="23">
        <v>1</v>
      </c>
      <c r="E16" s="24" t="s">
        <v>36</v>
      </c>
      <c r="F16" s="24" t="s">
        <v>36</v>
      </c>
      <c r="G16" s="24" t="s">
        <v>36</v>
      </c>
      <c r="H16" s="24" t="s">
        <v>158</v>
      </c>
      <c r="I16" s="24" t="s">
        <v>159</v>
      </c>
      <c r="J16" s="24" t="s">
        <v>288</v>
      </c>
      <c r="K16" s="24" t="s">
        <v>416</v>
      </c>
      <c r="L16" s="27">
        <v>233594056041</v>
      </c>
      <c r="M16" s="24" t="s">
        <v>37</v>
      </c>
      <c r="N16" s="24" t="s">
        <v>36</v>
      </c>
      <c r="O16" s="24" t="s">
        <v>301</v>
      </c>
      <c r="P16" s="31" t="s">
        <v>36</v>
      </c>
      <c r="Q16" s="2">
        <v>2</v>
      </c>
      <c r="R16" s="24" t="s">
        <v>36</v>
      </c>
      <c r="S16" s="24" t="s">
        <v>38</v>
      </c>
      <c r="T16" s="33">
        <v>45690</v>
      </c>
      <c r="U16" s="24" t="s">
        <v>36</v>
      </c>
      <c r="V16" s="24" t="s">
        <v>36</v>
      </c>
      <c r="W16" s="24">
        <v>5</v>
      </c>
      <c r="X16" s="33" t="s">
        <v>369</v>
      </c>
      <c r="Y16" s="24" t="s">
        <v>8</v>
      </c>
    </row>
    <row r="17" spans="4:25" x14ac:dyDescent="0.25">
      <c r="D17" s="25">
        <v>2</v>
      </c>
      <c r="E17" s="26" t="s">
        <v>179</v>
      </c>
      <c r="F17" s="26" t="s">
        <v>180</v>
      </c>
      <c r="G17" s="26" t="s">
        <v>181</v>
      </c>
      <c r="H17" s="26" t="s">
        <v>158</v>
      </c>
      <c r="I17" s="26" t="s">
        <v>159</v>
      </c>
      <c r="J17" s="26" t="s">
        <v>288</v>
      </c>
      <c r="K17" s="26" t="s">
        <v>24</v>
      </c>
      <c r="L17" s="28">
        <v>1000047704</v>
      </c>
      <c r="M17" s="29" t="s">
        <v>302</v>
      </c>
      <c r="N17" s="26" t="s">
        <v>303</v>
      </c>
      <c r="O17" s="26" t="s">
        <v>304</v>
      </c>
      <c r="P17" s="32">
        <v>43371695</v>
      </c>
      <c r="Q17" s="2">
        <v>0</v>
      </c>
      <c r="R17" s="26" t="s">
        <v>355</v>
      </c>
      <c r="S17" s="26" t="s">
        <v>25</v>
      </c>
      <c r="T17" s="34">
        <f>T16</f>
        <v>45690</v>
      </c>
      <c r="U17" s="26" t="s">
        <v>367</v>
      </c>
      <c r="V17" s="26" t="s">
        <v>368</v>
      </c>
      <c r="W17" s="26">
        <v>4</v>
      </c>
      <c r="X17" s="34" t="s">
        <v>369</v>
      </c>
      <c r="Y17" s="26" t="s">
        <v>370</v>
      </c>
    </row>
    <row r="18" spans="4:25" x14ac:dyDescent="0.25">
      <c r="D18" s="23">
        <v>3</v>
      </c>
      <c r="E18" s="24" t="s">
        <v>182</v>
      </c>
      <c r="F18" s="24" t="s">
        <v>183</v>
      </c>
      <c r="G18" s="24" t="s">
        <v>184</v>
      </c>
      <c r="H18" s="24" t="s">
        <v>410</v>
      </c>
      <c r="I18" s="24" t="s">
        <v>159</v>
      </c>
      <c r="J18" s="24" t="s">
        <v>288</v>
      </c>
      <c r="K18" s="24" t="s">
        <v>26</v>
      </c>
      <c r="L18" s="27">
        <v>1222717884</v>
      </c>
      <c r="M18" s="30" t="s">
        <v>305</v>
      </c>
      <c r="N18" s="24" t="s">
        <v>306</v>
      </c>
      <c r="O18" s="24" t="s">
        <v>307</v>
      </c>
      <c r="P18" s="31" t="s">
        <v>405</v>
      </c>
      <c r="Q18" s="2">
        <v>0</v>
      </c>
      <c r="R18" s="24" t="s">
        <v>425</v>
      </c>
      <c r="S18" s="24" t="s">
        <v>25</v>
      </c>
      <c r="T18" s="33">
        <v>37530</v>
      </c>
      <c r="U18" s="24" t="s">
        <v>367</v>
      </c>
      <c r="V18" s="24" t="s">
        <v>371</v>
      </c>
      <c r="W18" s="24">
        <v>27</v>
      </c>
      <c r="X18" s="33" t="s">
        <v>369</v>
      </c>
      <c r="Y18" s="24" t="s">
        <v>372</v>
      </c>
    </row>
    <row r="19" spans="4:25" x14ac:dyDescent="0.25">
      <c r="D19" s="25">
        <v>4</v>
      </c>
      <c r="E19" s="26" t="s">
        <v>185</v>
      </c>
      <c r="F19" s="26" t="s">
        <v>186</v>
      </c>
      <c r="G19" s="26" t="s">
        <v>187</v>
      </c>
      <c r="H19" s="26" t="s">
        <v>410</v>
      </c>
      <c r="I19" s="26" t="s">
        <v>159</v>
      </c>
      <c r="J19" s="26" t="s">
        <v>288</v>
      </c>
      <c r="K19" s="26" t="s">
        <v>27</v>
      </c>
      <c r="L19" s="28">
        <v>1001375120</v>
      </c>
      <c r="M19" s="29" t="s">
        <v>308</v>
      </c>
      <c r="N19" s="26" t="s">
        <v>309</v>
      </c>
      <c r="O19" s="26" t="s">
        <v>310</v>
      </c>
      <c r="P19" s="32">
        <v>41583486</v>
      </c>
      <c r="Q19" s="2">
        <v>3</v>
      </c>
      <c r="R19" s="26" t="s">
        <v>355</v>
      </c>
      <c r="S19" s="26" t="s">
        <v>25</v>
      </c>
      <c r="T19" s="34">
        <v>42380</v>
      </c>
      <c r="U19" s="26" t="s">
        <v>367</v>
      </c>
      <c r="V19" s="26" t="s">
        <v>373</v>
      </c>
      <c r="W19" s="26">
        <v>8</v>
      </c>
      <c r="X19" s="34" t="s">
        <v>369</v>
      </c>
      <c r="Y19" s="26" t="s">
        <v>8</v>
      </c>
    </row>
    <row r="20" spans="4:25" x14ac:dyDescent="0.25">
      <c r="D20" s="23">
        <v>5</v>
      </c>
      <c r="E20" s="24" t="s">
        <v>188</v>
      </c>
      <c r="F20" s="24" t="s">
        <v>189</v>
      </c>
      <c r="G20" s="24" t="s">
        <v>190</v>
      </c>
      <c r="H20" s="24" t="s">
        <v>410</v>
      </c>
      <c r="I20" s="24" t="s">
        <v>159</v>
      </c>
      <c r="J20" s="24" t="s">
        <v>288</v>
      </c>
      <c r="K20" s="24" t="s">
        <v>24</v>
      </c>
      <c r="L20" s="27">
        <v>1001833810</v>
      </c>
      <c r="M20" s="30" t="s">
        <v>311</v>
      </c>
      <c r="N20" s="24" t="s">
        <v>312</v>
      </c>
      <c r="O20" s="24" t="s">
        <v>313</v>
      </c>
      <c r="P20" s="31" t="s">
        <v>406</v>
      </c>
      <c r="Q20" s="2">
        <v>2.2000000000000002</v>
      </c>
      <c r="R20" s="24" t="s">
        <v>425</v>
      </c>
      <c r="S20" s="24" t="s">
        <v>25</v>
      </c>
      <c r="T20" s="33">
        <v>37530</v>
      </c>
      <c r="U20" s="24" t="s">
        <v>367</v>
      </c>
      <c r="V20" s="24" t="s">
        <v>373</v>
      </c>
      <c r="W20" s="24">
        <v>5</v>
      </c>
      <c r="X20" s="33" t="s">
        <v>369</v>
      </c>
      <c r="Y20" s="24" t="s">
        <v>372</v>
      </c>
    </row>
    <row r="21" spans="4:25" x14ac:dyDescent="0.25">
      <c r="D21" s="25">
        <v>6</v>
      </c>
      <c r="E21" s="26" t="s">
        <v>191</v>
      </c>
      <c r="F21" s="26" t="s">
        <v>192</v>
      </c>
      <c r="G21" s="26" t="s">
        <v>193</v>
      </c>
      <c r="H21" s="26" t="s">
        <v>158</v>
      </c>
      <c r="I21" s="26" t="s">
        <v>159</v>
      </c>
      <c r="J21" s="26" t="s">
        <v>28</v>
      </c>
      <c r="K21" s="26" t="s">
        <v>24</v>
      </c>
      <c r="L21" s="28">
        <v>1000178423</v>
      </c>
      <c r="M21" s="29" t="s">
        <v>314</v>
      </c>
      <c r="N21" s="26" t="s">
        <v>315</v>
      </c>
      <c r="O21" s="26" t="s">
        <v>316</v>
      </c>
      <c r="P21" s="32">
        <v>51067879</v>
      </c>
      <c r="Q21" s="2">
        <v>2.1272727272727301</v>
      </c>
      <c r="R21" s="26" t="s">
        <v>355</v>
      </c>
      <c r="S21" s="26" t="s">
        <v>25</v>
      </c>
      <c r="T21" s="34">
        <v>37625</v>
      </c>
      <c r="U21" s="26" t="s">
        <v>367</v>
      </c>
      <c r="V21" s="26" t="s">
        <v>374</v>
      </c>
      <c r="W21" s="26">
        <v>44</v>
      </c>
      <c r="X21" s="34" t="s">
        <v>369</v>
      </c>
      <c r="Y21" s="26" t="s">
        <v>375</v>
      </c>
    </row>
    <row r="22" spans="4:25" x14ac:dyDescent="0.25">
      <c r="D22" s="23">
        <v>7</v>
      </c>
      <c r="E22" s="24" t="s">
        <v>194</v>
      </c>
      <c r="F22" s="24" t="s">
        <v>195</v>
      </c>
      <c r="G22" s="24" t="s">
        <v>196</v>
      </c>
      <c r="H22" s="24" t="s">
        <v>158</v>
      </c>
      <c r="I22" s="24" t="s">
        <v>159</v>
      </c>
      <c r="J22" s="24" t="s">
        <v>28</v>
      </c>
      <c r="K22" s="24" t="s">
        <v>26</v>
      </c>
      <c r="L22" s="27">
        <v>1002224649</v>
      </c>
      <c r="M22" s="30" t="s">
        <v>317</v>
      </c>
      <c r="N22" s="24" t="s">
        <v>318</v>
      </c>
      <c r="O22" s="24" t="s">
        <v>319</v>
      </c>
      <c r="P22" s="31" t="s">
        <v>407</v>
      </c>
      <c r="Q22" s="2">
        <v>2.0545454545454498</v>
      </c>
      <c r="R22" s="24" t="s">
        <v>425</v>
      </c>
      <c r="S22" s="24" t="s">
        <v>25</v>
      </c>
      <c r="T22" s="33">
        <v>37530</v>
      </c>
      <c r="U22" s="24" t="s">
        <v>367</v>
      </c>
      <c r="V22" s="24" t="s">
        <v>368</v>
      </c>
      <c r="W22" s="24">
        <v>3</v>
      </c>
      <c r="X22" s="33" t="s">
        <v>369</v>
      </c>
      <c r="Y22" s="24" t="s">
        <v>307</v>
      </c>
    </row>
    <row r="23" spans="4:25" x14ac:dyDescent="0.25">
      <c r="D23" s="25">
        <v>10</v>
      </c>
      <c r="E23" s="26" t="s">
        <v>197</v>
      </c>
      <c r="F23" s="26" t="s">
        <v>198</v>
      </c>
      <c r="G23" s="26" t="s">
        <v>199</v>
      </c>
      <c r="H23" s="26" t="s">
        <v>158</v>
      </c>
      <c r="I23" s="26" t="s">
        <v>159</v>
      </c>
      <c r="J23" s="26" t="s">
        <v>290</v>
      </c>
      <c r="K23" s="26" t="s">
        <v>32</v>
      </c>
      <c r="L23" s="28">
        <v>99755999</v>
      </c>
      <c r="M23" s="29" t="s">
        <v>320</v>
      </c>
      <c r="N23" s="26" t="s">
        <v>321</v>
      </c>
      <c r="O23" s="26" t="s">
        <v>313</v>
      </c>
      <c r="P23" s="32" t="s">
        <v>323</v>
      </c>
      <c r="Q23" s="2">
        <v>1.9818181818181799</v>
      </c>
      <c r="R23" s="26" t="s">
        <v>356</v>
      </c>
      <c r="S23" s="26" t="s">
        <v>30</v>
      </c>
      <c r="T23" s="34">
        <f>T22</f>
        <v>37530</v>
      </c>
      <c r="U23" s="26" t="s">
        <v>377</v>
      </c>
      <c r="V23" s="26" t="s">
        <v>371</v>
      </c>
      <c r="W23" s="26">
        <f>W22</f>
        <v>3</v>
      </c>
      <c r="X23" s="34" t="str">
        <f>X22</f>
        <v>29/9/2021</v>
      </c>
      <c r="Y23" s="26" t="s">
        <v>378</v>
      </c>
    </row>
    <row r="24" spans="4:25" x14ac:dyDescent="0.25">
      <c r="D24" s="23">
        <v>13</v>
      </c>
      <c r="E24" s="24" t="s">
        <v>426</v>
      </c>
      <c r="F24" s="24" t="s">
        <v>200</v>
      </c>
      <c r="G24" s="24" t="s">
        <v>201</v>
      </c>
      <c r="H24" s="24" t="s">
        <v>158</v>
      </c>
      <c r="I24" s="24" t="s">
        <v>159</v>
      </c>
      <c r="J24" s="24" t="s">
        <v>288</v>
      </c>
      <c r="K24" s="24" t="s">
        <v>32</v>
      </c>
      <c r="L24" s="27">
        <v>96384993</v>
      </c>
      <c r="M24" s="24" t="s">
        <v>37</v>
      </c>
      <c r="N24" s="24" t="s">
        <v>321</v>
      </c>
      <c r="O24" s="24" t="s">
        <v>316</v>
      </c>
      <c r="P24" s="31" t="s">
        <v>324</v>
      </c>
      <c r="Q24" s="2">
        <v>1.9090909090909101</v>
      </c>
      <c r="R24" s="24" t="s">
        <v>356</v>
      </c>
      <c r="S24" s="24" t="s">
        <v>30</v>
      </c>
      <c r="T24" s="33">
        <v>37530</v>
      </c>
      <c r="U24" s="24" t="s">
        <v>379</v>
      </c>
      <c r="V24" s="24" t="s">
        <v>373</v>
      </c>
      <c r="W24" s="24">
        <v>2</v>
      </c>
      <c r="X24" s="33" t="s">
        <v>369</v>
      </c>
      <c r="Y24" s="24" t="s">
        <v>380</v>
      </c>
    </row>
    <row r="25" spans="4:25" x14ac:dyDescent="0.25">
      <c r="D25" s="25">
        <v>14</v>
      </c>
      <c r="E25" s="26" t="s">
        <v>202</v>
      </c>
      <c r="F25" s="26" t="s">
        <v>203</v>
      </c>
      <c r="G25" s="26" t="s">
        <v>204</v>
      </c>
      <c r="H25" s="26" t="s">
        <v>158</v>
      </c>
      <c r="I25" s="26" t="s">
        <v>159</v>
      </c>
      <c r="J25" s="26" t="s">
        <v>292</v>
      </c>
      <c r="K25" s="26" t="s">
        <v>32</v>
      </c>
      <c r="L25" s="28">
        <v>96882550</v>
      </c>
      <c r="M25" s="29" t="s">
        <v>302</v>
      </c>
      <c r="N25" s="26" t="s">
        <v>321</v>
      </c>
      <c r="O25" s="26" t="s">
        <v>319</v>
      </c>
      <c r="P25" s="32" t="s">
        <v>325</v>
      </c>
      <c r="Q25" s="2">
        <v>1.83636363636364</v>
      </c>
      <c r="R25" s="26" t="s">
        <v>356</v>
      </c>
      <c r="S25" s="26" t="s">
        <v>30</v>
      </c>
      <c r="T25" s="34">
        <f>T24</f>
        <v>37530</v>
      </c>
      <c r="U25" s="26" t="s">
        <v>381</v>
      </c>
      <c r="V25" s="26" t="s">
        <v>373</v>
      </c>
      <c r="W25" s="26">
        <v>3</v>
      </c>
      <c r="X25" s="34" t="s">
        <v>369</v>
      </c>
      <c r="Y25" s="26" t="s">
        <v>382</v>
      </c>
    </row>
    <row r="26" spans="4:25" x14ac:dyDescent="0.25">
      <c r="D26" s="23">
        <v>15</v>
      </c>
      <c r="E26" s="24" t="s">
        <v>205</v>
      </c>
      <c r="F26" s="24" t="s">
        <v>427</v>
      </c>
      <c r="G26" s="24" t="s">
        <v>206</v>
      </c>
      <c r="H26" s="24" t="s">
        <v>410</v>
      </c>
      <c r="I26" s="24" t="s">
        <v>159</v>
      </c>
      <c r="J26" s="24" t="s">
        <v>28</v>
      </c>
      <c r="K26" s="24" t="s">
        <v>32</v>
      </c>
      <c r="L26" s="27">
        <v>98412271</v>
      </c>
      <c r="M26" s="30" t="s">
        <v>305</v>
      </c>
      <c r="N26" s="24" t="s">
        <v>321</v>
      </c>
      <c r="O26" s="24" t="s">
        <v>313</v>
      </c>
      <c r="P26" s="31" t="s">
        <v>326</v>
      </c>
      <c r="Q26" s="2">
        <v>1.7636363636363701</v>
      </c>
      <c r="R26" s="24" t="s">
        <v>356</v>
      </c>
      <c r="S26" s="24" t="s">
        <v>30</v>
      </c>
      <c r="T26" s="33">
        <v>43839</v>
      </c>
      <c r="U26" s="24" t="s">
        <v>377</v>
      </c>
      <c r="V26" s="24" t="s">
        <v>428</v>
      </c>
      <c r="W26" s="24">
        <v>4</v>
      </c>
      <c r="X26" s="33" t="s">
        <v>369</v>
      </c>
      <c r="Y26" s="24" t="s">
        <v>383</v>
      </c>
    </row>
    <row r="27" spans="4:25" x14ac:dyDescent="0.25">
      <c r="D27" s="25">
        <v>17</v>
      </c>
      <c r="E27" s="26" t="s">
        <v>207</v>
      </c>
      <c r="F27" s="26" t="s">
        <v>208</v>
      </c>
      <c r="G27" s="26"/>
      <c r="H27" s="26" t="s">
        <v>410</v>
      </c>
      <c r="I27" s="26" t="s">
        <v>159</v>
      </c>
      <c r="J27" s="26" t="s">
        <v>292</v>
      </c>
      <c r="K27" s="26" t="s">
        <v>32</v>
      </c>
      <c r="L27" s="28">
        <v>96000602</v>
      </c>
      <c r="M27" s="29" t="s">
        <v>308</v>
      </c>
      <c r="N27" s="26" t="s">
        <v>313</v>
      </c>
      <c r="O27" s="26" t="s">
        <v>316</v>
      </c>
      <c r="P27" s="32" t="s">
        <v>327</v>
      </c>
      <c r="Q27" s="2">
        <v>1.69090909090909</v>
      </c>
      <c r="R27" s="26" t="s">
        <v>356</v>
      </c>
      <c r="S27" s="26" t="s">
        <v>30</v>
      </c>
      <c r="T27" s="34">
        <f>T26</f>
        <v>43839</v>
      </c>
      <c r="U27" s="26" t="s">
        <v>384</v>
      </c>
      <c r="V27" s="26" t="s">
        <v>368</v>
      </c>
      <c r="W27" s="26">
        <v>5</v>
      </c>
      <c r="X27" s="34" t="s">
        <v>369</v>
      </c>
      <c r="Y27" s="26" t="s">
        <v>385</v>
      </c>
    </row>
    <row r="28" spans="4:25" x14ac:dyDescent="0.25">
      <c r="D28" s="23">
        <v>18</v>
      </c>
      <c r="E28" s="24" t="s">
        <v>201</v>
      </c>
      <c r="F28" s="24" t="s">
        <v>209</v>
      </c>
      <c r="G28" s="24" t="s">
        <v>210</v>
      </c>
      <c r="H28" s="24" t="s">
        <v>158</v>
      </c>
      <c r="I28" s="24" t="s">
        <v>159</v>
      </c>
      <c r="J28" s="24" t="s">
        <v>28</v>
      </c>
      <c r="K28" s="24" t="s">
        <v>32</v>
      </c>
      <c r="L28" s="27">
        <v>98806660</v>
      </c>
      <c r="M28" s="30" t="s">
        <v>311</v>
      </c>
      <c r="N28" s="24" t="s">
        <v>321</v>
      </c>
      <c r="O28" s="24" t="s">
        <v>319</v>
      </c>
      <c r="P28" s="31" t="s">
        <v>328</v>
      </c>
      <c r="Q28" s="2">
        <v>1.6181818181818199</v>
      </c>
      <c r="R28" s="24" t="s">
        <v>356</v>
      </c>
      <c r="S28" s="24" t="s">
        <v>30</v>
      </c>
      <c r="T28" s="33">
        <v>43839</v>
      </c>
      <c r="U28" s="24" t="s">
        <v>379</v>
      </c>
      <c r="V28" s="24" t="s">
        <v>371</v>
      </c>
      <c r="W28" s="24">
        <v>5</v>
      </c>
      <c r="X28" s="33" t="s">
        <v>369</v>
      </c>
      <c r="Y28" s="24" t="s">
        <v>386</v>
      </c>
    </row>
    <row r="29" spans="4:25" x14ac:dyDescent="0.25">
      <c r="D29" s="25">
        <v>19</v>
      </c>
      <c r="E29" s="26" t="s">
        <v>211</v>
      </c>
      <c r="F29" s="26" t="s">
        <v>212</v>
      </c>
      <c r="G29" s="26"/>
      <c r="H29" s="26" t="s">
        <v>158</v>
      </c>
      <c r="I29" s="26" t="s">
        <v>159</v>
      </c>
      <c r="J29" s="26" t="s">
        <v>292</v>
      </c>
      <c r="K29" s="26" t="s">
        <v>32</v>
      </c>
      <c r="L29" s="28">
        <f>L28</f>
        <v>98806660</v>
      </c>
      <c r="M29" s="29" t="s">
        <v>314</v>
      </c>
      <c r="N29" s="26" t="s">
        <v>321</v>
      </c>
      <c r="O29" s="26" t="s">
        <v>313</v>
      </c>
      <c r="P29" s="32" t="s">
        <v>329</v>
      </c>
      <c r="Q29" s="2">
        <v>1.5454545454545501</v>
      </c>
      <c r="R29" s="26" t="s">
        <v>356</v>
      </c>
      <c r="S29" s="26" t="s">
        <v>30</v>
      </c>
      <c r="T29" s="34">
        <f>T28</f>
        <v>43839</v>
      </c>
      <c r="U29" s="26" t="s">
        <v>379</v>
      </c>
      <c r="V29" s="26" t="s">
        <v>373</v>
      </c>
      <c r="W29" s="26">
        <v>2</v>
      </c>
      <c r="X29" s="34" t="s">
        <v>369</v>
      </c>
      <c r="Y29" s="26" t="s">
        <v>387</v>
      </c>
    </row>
    <row r="30" spans="4:25" x14ac:dyDescent="0.25">
      <c r="D30" s="23">
        <v>20</v>
      </c>
      <c r="E30" s="24" t="s">
        <v>213</v>
      </c>
      <c r="F30" s="24" t="s">
        <v>214</v>
      </c>
      <c r="G30" s="24" t="s">
        <v>215</v>
      </c>
      <c r="H30" s="24" t="s">
        <v>158</v>
      </c>
      <c r="I30" s="24" t="s">
        <v>159</v>
      </c>
      <c r="J30" s="24" t="s">
        <v>28</v>
      </c>
      <c r="K30" s="24" t="s">
        <v>29</v>
      </c>
      <c r="L30" s="27">
        <v>90010170</v>
      </c>
      <c r="M30" s="30" t="s">
        <v>317</v>
      </c>
      <c r="N30" s="24" t="s">
        <v>319</v>
      </c>
      <c r="O30" s="24" t="s">
        <v>316</v>
      </c>
      <c r="P30" s="31" t="s">
        <v>330</v>
      </c>
      <c r="Q30" s="2">
        <v>1.47272727272727</v>
      </c>
      <c r="R30" s="24" t="s">
        <v>356</v>
      </c>
      <c r="S30" s="24" t="s">
        <v>30</v>
      </c>
      <c r="T30" s="33">
        <v>37996</v>
      </c>
      <c r="U30" s="24" t="s">
        <v>388</v>
      </c>
      <c r="V30" s="24" t="s">
        <v>373</v>
      </c>
      <c r="W30" s="24">
        <v>2</v>
      </c>
      <c r="X30" s="33" t="s">
        <v>369</v>
      </c>
      <c r="Y30" s="24" t="s">
        <v>389</v>
      </c>
    </row>
    <row r="31" spans="4:25" x14ac:dyDescent="0.25">
      <c r="D31" s="25">
        <v>21</v>
      </c>
      <c r="E31" s="26" t="s">
        <v>216</v>
      </c>
      <c r="F31" s="26" t="s">
        <v>217</v>
      </c>
      <c r="G31" s="26" t="s">
        <v>218</v>
      </c>
      <c r="H31" s="26" t="s">
        <v>410</v>
      </c>
      <c r="I31" s="26" t="s">
        <v>159</v>
      </c>
      <c r="J31" s="26" t="s">
        <v>292</v>
      </c>
      <c r="K31" s="26" t="s">
        <v>32</v>
      </c>
      <c r="L31" s="28">
        <v>91738401</v>
      </c>
      <c r="M31" s="29" t="s">
        <v>320</v>
      </c>
      <c r="N31" s="26" t="s">
        <v>313</v>
      </c>
      <c r="O31" s="26" t="s">
        <v>319</v>
      </c>
      <c r="P31" s="32" t="s">
        <v>331</v>
      </c>
      <c r="Q31" s="2">
        <v>1.4</v>
      </c>
      <c r="R31" s="26" t="s">
        <v>356</v>
      </c>
      <c r="S31" s="26" t="s">
        <v>30</v>
      </c>
      <c r="T31" s="34">
        <v>44075</v>
      </c>
      <c r="U31" s="26" t="s">
        <v>384</v>
      </c>
      <c r="V31" s="26" t="s">
        <v>374</v>
      </c>
      <c r="W31" s="26">
        <v>3</v>
      </c>
      <c r="X31" s="34" t="s">
        <v>369</v>
      </c>
      <c r="Y31" s="26" t="s">
        <v>390</v>
      </c>
    </row>
    <row r="32" spans="4:25" x14ac:dyDescent="0.25">
      <c r="D32" s="23">
        <v>22</v>
      </c>
      <c r="E32" s="24" t="s">
        <v>219</v>
      </c>
      <c r="F32" s="24" t="s">
        <v>214</v>
      </c>
      <c r="G32" s="24"/>
      <c r="H32" s="24" t="s">
        <v>410</v>
      </c>
      <c r="I32" s="24" t="s">
        <v>159</v>
      </c>
      <c r="J32" s="24" t="s">
        <v>28</v>
      </c>
      <c r="K32" s="24" t="s">
        <v>32</v>
      </c>
      <c r="L32" s="27">
        <v>99316323</v>
      </c>
      <c r="M32" s="24" t="s">
        <v>37</v>
      </c>
      <c r="N32" s="24" t="s">
        <v>313</v>
      </c>
      <c r="O32" s="24" t="s">
        <v>313</v>
      </c>
      <c r="P32" s="31" t="s">
        <v>332</v>
      </c>
      <c r="Q32" s="2">
        <v>1.32727272727273</v>
      </c>
      <c r="R32" s="24" t="s">
        <v>356</v>
      </c>
      <c r="S32" s="24" t="s">
        <v>30</v>
      </c>
      <c r="T32" s="33">
        <v>40554</v>
      </c>
      <c r="U32" s="24" t="s">
        <v>384</v>
      </c>
      <c r="V32" s="24" t="s">
        <v>368</v>
      </c>
      <c r="W32" s="24">
        <v>3</v>
      </c>
      <c r="X32" s="33" t="s">
        <v>369</v>
      </c>
      <c r="Y32" s="24" t="s">
        <v>391</v>
      </c>
    </row>
    <row r="33" spans="4:25" x14ac:dyDescent="0.25">
      <c r="D33" s="25">
        <v>23</v>
      </c>
      <c r="E33" s="26" t="s">
        <v>220</v>
      </c>
      <c r="F33" s="26" t="s">
        <v>221</v>
      </c>
      <c r="G33" s="26" t="s">
        <v>222</v>
      </c>
      <c r="H33" s="26" t="s">
        <v>410</v>
      </c>
      <c r="I33" s="26" t="s">
        <v>159</v>
      </c>
      <c r="J33" s="26" t="s">
        <v>292</v>
      </c>
      <c r="K33" s="26" t="s">
        <v>33</v>
      </c>
      <c r="L33" s="28">
        <v>96896006</v>
      </c>
      <c r="M33" s="29" t="s">
        <v>302</v>
      </c>
      <c r="N33" s="26" t="s">
        <v>313</v>
      </c>
      <c r="O33" s="26" t="s">
        <v>316</v>
      </c>
      <c r="P33" s="32" t="s">
        <v>333</v>
      </c>
      <c r="Q33" s="2">
        <v>1.25454545454546</v>
      </c>
      <c r="R33" s="26" t="s">
        <v>356</v>
      </c>
      <c r="S33" s="26" t="s">
        <v>30</v>
      </c>
      <c r="T33" s="34">
        <v>40725</v>
      </c>
      <c r="U33" s="26" t="s">
        <v>384</v>
      </c>
      <c r="V33" s="26" t="s">
        <v>371</v>
      </c>
      <c r="W33" s="26">
        <v>2</v>
      </c>
      <c r="X33" s="34" t="s">
        <v>369</v>
      </c>
      <c r="Y33" s="26" t="s">
        <v>391</v>
      </c>
    </row>
    <row r="34" spans="4:25" x14ac:dyDescent="0.25">
      <c r="D34" s="23">
        <v>24</v>
      </c>
      <c r="E34" s="24" t="s">
        <v>223</v>
      </c>
      <c r="F34" s="24" t="s">
        <v>224</v>
      </c>
      <c r="G34" s="24" t="s">
        <v>225</v>
      </c>
      <c r="H34" s="24" t="s">
        <v>158</v>
      </c>
      <c r="I34" s="24" t="s">
        <v>159</v>
      </c>
      <c r="J34" s="24" t="s">
        <v>28</v>
      </c>
      <c r="K34" s="24" t="s">
        <v>31</v>
      </c>
      <c r="L34" s="27">
        <v>97682031</v>
      </c>
      <c r="M34" s="30" t="s">
        <v>305</v>
      </c>
      <c r="N34" s="24" t="s">
        <v>301</v>
      </c>
      <c r="O34" s="24" t="s">
        <v>319</v>
      </c>
      <c r="P34" s="31" t="s">
        <v>334</v>
      </c>
      <c r="Q34" s="2">
        <v>1.1818181818181801</v>
      </c>
      <c r="R34" s="24" t="s">
        <v>356</v>
      </c>
      <c r="S34" s="24" t="s">
        <v>30</v>
      </c>
      <c r="T34" s="33">
        <v>40550</v>
      </c>
      <c r="U34" s="24" t="s">
        <v>384</v>
      </c>
      <c r="V34" s="24" t="s">
        <v>373</v>
      </c>
      <c r="W34" s="24">
        <v>3</v>
      </c>
      <c r="X34" s="33" t="s">
        <v>369</v>
      </c>
      <c r="Y34" s="24" t="s">
        <v>392</v>
      </c>
    </row>
    <row r="35" spans="4:25" x14ac:dyDescent="0.25">
      <c r="D35" s="25">
        <v>25</v>
      </c>
      <c r="E35" s="26" t="s">
        <v>226</v>
      </c>
      <c r="F35" s="26" t="s">
        <v>227</v>
      </c>
      <c r="G35" s="26" t="s">
        <v>228</v>
      </c>
      <c r="H35" s="26" t="s">
        <v>410</v>
      </c>
      <c r="I35" s="26" t="s">
        <v>159</v>
      </c>
      <c r="J35" s="26" t="s">
        <v>291</v>
      </c>
      <c r="K35" s="26" t="s">
        <v>32</v>
      </c>
      <c r="L35" s="28">
        <v>94021149</v>
      </c>
      <c r="M35" s="29" t="s">
        <v>308</v>
      </c>
      <c r="N35" s="26" t="s">
        <v>301</v>
      </c>
      <c r="O35" s="26" t="s">
        <v>319</v>
      </c>
      <c r="P35" s="32" t="s">
        <v>34</v>
      </c>
      <c r="Q35" s="2">
        <v>1.10909090909091</v>
      </c>
      <c r="R35" s="26" t="s">
        <v>357</v>
      </c>
      <c r="S35" s="26" t="s">
        <v>34</v>
      </c>
      <c r="T35" s="34">
        <f>T34</f>
        <v>40550</v>
      </c>
      <c r="U35" s="26" t="s">
        <v>301</v>
      </c>
      <c r="V35" s="26" t="s">
        <v>373</v>
      </c>
      <c r="W35" s="26">
        <v>3</v>
      </c>
      <c r="X35" s="34" t="s">
        <v>369</v>
      </c>
      <c r="Y35" s="26" t="s">
        <v>390</v>
      </c>
    </row>
    <row r="36" spans="4:25" x14ac:dyDescent="0.25">
      <c r="D36" s="23">
        <v>26</v>
      </c>
      <c r="E36" s="24" t="s">
        <v>429</v>
      </c>
      <c r="F36" s="24" t="s">
        <v>229</v>
      </c>
      <c r="G36" s="24" t="s">
        <v>230</v>
      </c>
      <c r="H36" s="24" t="s">
        <v>158</v>
      </c>
      <c r="I36" s="24" t="s">
        <v>159</v>
      </c>
      <c r="J36" s="24" t="s">
        <v>288</v>
      </c>
      <c r="K36" s="24" t="s">
        <v>32</v>
      </c>
      <c r="L36" s="27">
        <v>92342978</v>
      </c>
      <c r="M36" s="30" t="s">
        <v>311</v>
      </c>
      <c r="N36" s="24" t="s">
        <v>301</v>
      </c>
      <c r="O36" s="24" t="s">
        <v>313</v>
      </c>
      <c r="P36" s="31" t="s">
        <v>34</v>
      </c>
      <c r="Q36" s="2">
        <v>1.0363636363636399</v>
      </c>
      <c r="R36" s="24" t="s">
        <v>357</v>
      </c>
      <c r="S36" s="24" t="s">
        <v>34</v>
      </c>
      <c r="T36" s="33">
        <v>43837</v>
      </c>
      <c r="U36" s="24" t="s">
        <v>301</v>
      </c>
      <c r="V36" s="24" t="s">
        <v>428</v>
      </c>
      <c r="W36" s="24">
        <v>2</v>
      </c>
      <c r="X36" s="33" t="s">
        <v>369</v>
      </c>
      <c r="Y36" s="24" t="s">
        <v>390</v>
      </c>
    </row>
    <row r="37" spans="4:25" x14ac:dyDescent="0.25">
      <c r="D37" s="25">
        <v>27</v>
      </c>
      <c r="E37" s="26" t="s">
        <v>231</v>
      </c>
      <c r="F37" s="26" t="s">
        <v>232</v>
      </c>
      <c r="G37" s="26"/>
      <c r="H37" s="26" t="s">
        <v>158</v>
      </c>
      <c r="I37" s="26" t="s">
        <v>159</v>
      </c>
      <c r="J37" s="26" t="s">
        <v>292</v>
      </c>
      <c r="K37" s="26" t="s">
        <v>32</v>
      </c>
      <c r="L37" s="28">
        <v>96218656</v>
      </c>
      <c r="M37" s="29" t="s">
        <v>314</v>
      </c>
      <c r="N37" s="26" t="s">
        <v>301</v>
      </c>
      <c r="O37" s="26" t="s">
        <v>316</v>
      </c>
      <c r="P37" s="32" t="s">
        <v>335</v>
      </c>
      <c r="Q37" s="2">
        <v>0.96363636363635796</v>
      </c>
      <c r="R37" s="26" t="s">
        <v>356</v>
      </c>
      <c r="S37" s="26" t="s">
        <v>30</v>
      </c>
      <c r="T37" s="34">
        <v>44013</v>
      </c>
      <c r="U37" s="26" t="s">
        <v>301</v>
      </c>
      <c r="V37" s="26" t="s">
        <v>368</v>
      </c>
      <c r="W37" s="26">
        <v>2</v>
      </c>
      <c r="X37" s="34" t="str">
        <f>X36</f>
        <v>29/9/2021</v>
      </c>
      <c r="Y37" s="26" t="s">
        <v>390</v>
      </c>
    </row>
    <row r="38" spans="4:25" x14ac:dyDescent="0.25">
      <c r="D38" s="23">
        <v>28</v>
      </c>
      <c r="E38" s="24" t="s">
        <v>197</v>
      </c>
      <c r="F38" s="24" t="s">
        <v>201</v>
      </c>
      <c r="G38" s="24" t="s">
        <v>233</v>
      </c>
      <c r="H38" s="24" t="s">
        <v>158</v>
      </c>
      <c r="I38" s="24" t="s">
        <v>159</v>
      </c>
      <c r="J38" s="24" t="s">
        <v>28</v>
      </c>
      <c r="K38" s="24" t="s">
        <v>31</v>
      </c>
      <c r="L38" s="27">
        <v>88314028</v>
      </c>
      <c r="M38" s="30" t="s">
        <v>317</v>
      </c>
      <c r="N38" s="24" t="s">
        <v>301</v>
      </c>
      <c r="O38" s="24" t="s">
        <v>319</v>
      </c>
      <c r="P38" s="31" t="s">
        <v>34</v>
      </c>
      <c r="Q38" s="2">
        <v>0.89090909090908799</v>
      </c>
      <c r="R38" s="24" t="s">
        <v>357</v>
      </c>
      <c r="S38" s="24" t="s">
        <v>34</v>
      </c>
      <c r="T38" s="33">
        <v>43837</v>
      </c>
      <c r="U38" s="24" t="s">
        <v>301</v>
      </c>
      <c r="V38" s="24" t="s">
        <v>371</v>
      </c>
      <c r="W38" s="24">
        <v>3</v>
      </c>
      <c r="X38" s="33" t="s">
        <v>369</v>
      </c>
      <c r="Y38" s="24" t="s">
        <v>392</v>
      </c>
    </row>
    <row r="39" spans="4:25" x14ac:dyDescent="0.25">
      <c r="D39" s="25">
        <v>29</v>
      </c>
      <c r="E39" s="26" t="s">
        <v>229</v>
      </c>
      <c r="F39" s="26" t="s">
        <v>234</v>
      </c>
      <c r="G39" s="26" t="s">
        <v>235</v>
      </c>
      <c r="H39" s="26" t="s">
        <v>158</v>
      </c>
      <c r="I39" s="26" t="s">
        <v>159</v>
      </c>
      <c r="J39" s="26" t="s">
        <v>292</v>
      </c>
      <c r="K39" s="26" t="s">
        <v>32</v>
      </c>
      <c r="L39" s="28">
        <v>96903487</v>
      </c>
      <c r="M39" s="29" t="s">
        <v>320</v>
      </c>
      <c r="N39" s="26" t="s">
        <v>301</v>
      </c>
      <c r="O39" s="26" t="s">
        <v>313</v>
      </c>
      <c r="P39" s="32" t="s">
        <v>336</v>
      </c>
      <c r="Q39" s="2">
        <v>0.81818181818181801</v>
      </c>
      <c r="R39" s="26" t="s">
        <v>356</v>
      </c>
      <c r="S39" s="26" t="s">
        <v>30</v>
      </c>
      <c r="T39" s="34">
        <f>T41</f>
        <v>44075</v>
      </c>
      <c r="U39" s="26" t="s">
        <v>301</v>
      </c>
      <c r="V39" s="26" t="s">
        <v>373</v>
      </c>
      <c r="W39" s="26">
        <v>34</v>
      </c>
      <c r="X39" s="34" t="s">
        <v>369</v>
      </c>
      <c r="Y39" s="26" t="s">
        <v>392</v>
      </c>
    </row>
    <row r="40" spans="4:25" x14ac:dyDescent="0.25">
      <c r="D40" s="23">
        <v>30</v>
      </c>
      <c r="E40" s="24" t="s">
        <v>236</v>
      </c>
      <c r="F40" s="24" t="s">
        <v>237</v>
      </c>
      <c r="G40" s="24" t="s">
        <v>238</v>
      </c>
      <c r="H40" s="24" t="s">
        <v>158</v>
      </c>
      <c r="I40" s="24" t="s">
        <v>159</v>
      </c>
      <c r="J40" s="24" t="s">
        <v>288</v>
      </c>
      <c r="K40" s="24" t="s">
        <v>31</v>
      </c>
      <c r="L40" s="27">
        <v>98008126</v>
      </c>
      <c r="M40" s="24" t="s">
        <v>37</v>
      </c>
      <c r="N40" s="24" t="s">
        <v>301</v>
      </c>
      <c r="O40" s="24" t="s">
        <v>316</v>
      </c>
      <c r="P40" s="31" t="s">
        <v>34</v>
      </c>
      <c r="Q40" s="2">
        <v>0.74545454545454803</v>
      </c>
      <c r="R40" s="24" t="s">
        <v>357</v>
      </c>
      <c r="S40" s="24" t="s">
        <v>34</v>
      </c>
      <c r="T40" s="33">
        <v>43839</v>
      </c>
      <c r="U40" s="24" t="s">
        <v>301</v>
      </c>
      <c r="V40" s="24" t="s">
        <v>373</v>
      </c>
      <c r="W40" s="24">
        <v>5</v>
      </c>
      <c r="X40" s="33" t="s">
        <v>369</v>
      </c>
      <c r="Y40" s="24" t="s">
        <v>390</v>
      </c>
    </row>
    <row r="41" spans="4:25" x14ac:dyDescent="0.25">
      <c r="D41" s="25">
        <v>31</v>
      </c>
      <c r="E41" s="26" t="s">
        <v>239</v>
      </c>
      <c r="F41" s="26" t="s">
        <v>240</v>
      </c>
      <c r="G41" s="26" t="s">
        <v>241</v>
      </c>
      <c r="H41" s="26" t="s">
        <v>410</v>
      </c>
      <c r="I41" s="26" t="s">
        <v>159</v>
      </c>
      <c r="J41" s="26" t="s">
        <v>292</v>
      </c>
      <c r="K41" s="26" t="s">
        <v>32</v>
      </c>
      <c r="L41" s="28">
        <v>96700074</v>
      </c>
      <c r="M41" s="29" t="s">
        <v>302</v>
      </c>
      <c r="N41" s="26" t="s">
        <v>316</v>
      </c>
      <c r="O41" s="26" t="s">
        <v>319</v>
      </c>
      <c r="P41" s="32" t="s">
        <v>337</v>
      </c>
      <c r="Q41" s="2">
        <v>0.67272727272726796</v>
      </c>
      <c r="R41" s="26" t="s">
        <v>356</v>
      </c>
      <c r="S41" s="26" t="s">
        <v>30</v>
      </c>
      <c r="T41" s="34">
        <v>44075</v>
      </c>
      <c r="U41" s="26" t="s">
        <v>393</v>
      </c>
      <c r="V41" s="26" t="s">
        <v>374</v>
      </c>
      <c r="W41" s="26">
        <v>2</v>
      </c>
      <c r="X41" s="34" t="s">
        <v>369</v>
      </c>
      <c r="Y41" s="26" t="s">
        <v>394</v>
      </c>
    </row>
    <row r="42" spans="4:25" x14ac:dyDescent="0.25">
      <c r="D42" s="23">
        <v>32</v>
      </c>
      <c r="E42" s="24" t="s">
        <v>242</v>
      </c>
      <c r="F42" s="24" t="s">
        <v>243</v>
      </c>
      <c r="G42" s="24" t="s">
        <v>244</v>
      </c>
      <c r="H42" s="24" t="s">
        <v>410</v>
      </c>
      <c r="I42" s="24" t="s">
        <v>159</v>
      </c>
      <c r="J42" s="24" t="s">
        <v>28</v>
      </c>
      <c r="K42" s="24" t="s">
        <v>32</v>
      </c>
      <c r="L42" s="27">
        <v>94471980</v>
      </c>
      <c r="M42" s="30" t="s">
        <v>305</v>
      </c>
      <c r="N42" s="24" t="s">
        <v>313</v>
      </c>
      <c r="O42" s="24" t="s">
        <v>313</v>
      </c>
      <c r="P42" s="31" t="s">
        <v>408</v>
      </c>
      <c r="Q42" s="2">
        <v>0.59999999999999798</v>
      </c>
      <c r="R42" s="24" t="s">
        <v>357</v>
      </c>
      <c r="S42" s="24" t="s">
        <v>34</v>
      </c>
      <c r="T42" s="33">
        <v>43839</v>
      </c>
      <c r="U42" s="24" t="s">
        <v>395</v>
      </c>
      <c r="V42" s="24" t="s">
        <v>368</v>
      </c>
      <c r="W42" s="24">
        <v>3</v>
      </c>
      <c r="X42" s="33" t="s">
        <v>369</v>
      </c>
      <c r="Y42" s="24" t="s">
        <v>390</v>
      </c>
    </row>
    <row r="43" spans="4:25" x14ac:dyDescent="0.25">
      <c r="D43" s="25">
        <v>33</v>
      </c>
      <c r="E43" s="26" t="s">
        <v>245</v>
      </c>
      <c r="F43" s="26" t="s">
        <v>246</v>
      </c>
      <c r="G43" s="26" t="s">
        <v>247</v>
      </c>
      <c r="H43" s="26" t="s">
        <v>410</v>
      </c>
      <c r="I43" s="26" t="s">
        <v>159</v>
      </c>
      <c r="J43" s="26" t="s">
        <v>292</v>
      </c>
      <c r="K43" s="26" t="s">
        <v>32</v>
      </c>
      <c r="L43" s="28">
        <v>99462411</v>
      </c>
      <c r="M43" s="29" t="s">
        <v>308</v>
      </c>
      <c r="N43" s="26" t="s">
        <v>313</v>
      </c>
      <c r="O43" s="26" t="s">
        <v>316</v>
      </c>
      <c r="P43" s="32" t="s">
        <v>338</v>
      </c>
      <c r="Q43" s="2">
        <v>0.527272727272728</v>
      </c>
      <c r="R43" s="26" t="s">
        <v>356</v>
      </c>
      <c r="S43" s="26" t="s">
        <v>30</v>
      </c>
      <c r="T43" s="34">
        <v>44075</v>
      </c>
      <c r="U43" s="26" t="s">
        <v>395</v>
      </c>
      <c r="V43" s="26" t="s">
        <v>371</v>
      </c>
      <c r="W43" s="26">
        <v>4</v>
      </c>
      <c r="X43" s="34" t="s">
        <v>369</v>
      </c>
      <c r="Y43" s="26" t="s">
        <v>391</v>
      </c>
    </row>
    <row r="44" spans="4:25" x14ac:dyDescent="0.25">
      <c r="D44" s="23">
        <v>34</v>
      </c>
      <c r="E44" s="24" t="s">
        <v>248</v>
      </c>
      <c r="F44" s="24" t="s">
        <v>249</v>
      </c>
      <c r="G44" s="24" t="s">
        <v>250</v>
      </c>
      <c r="H44" s="24" t="s">
        <v>410</v>
      </c>
      <c r="I44" s="24" t="s">
        <v>159</v>
      </c>
      <c r="J44" s="24" t="s">
        <v>288</v>
      </c>
      <c r="K44" s="24" t="s">
        <v>31</v>
      </c>
      <c r="L44" s="27">
        <v>96644030</v>
      </c>
      <c r="M44" s="30" t="s">
        <v>311</v>
      </c>
      <c r="N44" s="24" t="s">
        <v>301</v>
      </c>
      <c r="O44" s="24" t="s">
        <v>313</v>
      </c>
      <c r="P44" s="31" t="s">
        <v>34</v>
      </c>
      <c r="Q44" s="2">
        <v>0.45454545454544698</v>
      </c>
      <c r="R44" s="24" t="s">
        <v>357</v>
      </c>
      <c r="S44" s="24" t="s">
        <v>34</v>
      </c>
      <c r="T44" s="33">
        <v>43839</v>
      </c>
      <c r="U44" s="24" t="s">
        <v>301</v>
      </c>
      <c r="V44" s="24" t="s">
        <v>373</v>
      </c>
      <c r="W44" s="24">
        <v>5</v>
      </c>
      <c r="X44" s="33" t="s">
        <v>369</v>
      </c>
      <c r="Y44" s="24" t="s">
        <v>390</v>
      </c>
    </row>
    <row r="45" spans="4:25" x14ac:dyDescent="0.25">
      <c r="D45" s="25">
        <v>36</v>
      </c>
      <c r="E45" s="26" t="s">
        <v>251</v>
      </c>
      <c r="F45" s="26" t="s">
        <v>228</v>
      </c>
      <c r="G45" s="26"/>
      <c r="H45" s="26" t="s">
        <v>158</v>
      </c>
      <c r="I45" s="26" t="s">
        <v>159</v>
      </c>
      <c r="J45" s="26" t="s">
        <v>292</v>
      </c>
      <c r="K45" s="26" t="s">
        <v>32</v>
      </c>
      <c r="L45" s="28">
        <v>96891723</v>
      </c>
      <c r="M45" s="29" t="s">
        <v>314</v>
      </c>
      <c r="N45" s="26" t="s">
        <v>321</v>
      </c>
      <c r="O45" s="26" t="s">
        <v>313</v>
      </c>
      <c r="P45" s="32" t="s">
        <v>339</v>
      </c>
      <c r="Q45" s="2">
        <v>0.381818181818178</v>
      </c>
      <c r="R45" s="26" t="s">
        <v>356</v>
      </c>
      <c r="S45" s="26" t="s">
        <v>30</v>
      </c>
      <c r="T45" s="34">
        <f>T44</f>
        <v>43839</v>
      </c>
      <c r="U45" s="26" t="s">
        <v>321</v>
      </c>
      <c r="V45" s="26" t="s">
        <v>373</v>
      </c>
      <c r="W45" s="26">
        <v>5</v>
      </c>
      <c r="X45" s="34" t="s">
        <v>369</v>
      </c>
      <c r="Y45" s="26" t="s">
        <v>392</v>
      </c>
    </row>
    <row r="46" spans="4:25" x14ac:dyDescent="0.25">
      <c r="D46" s="23">
        <v>37</v>
      </c>
      <c r="E46" s="24" t="s">
        <v>252</v>
      </c>
      <c r="F46" s="24" t="s">
        <v>214</v>
      </c>
      <c r="G46" s="24" t="s">
        <v>253</v>
      </c>
      <c r="H46" s="24" t="s">
        <v>158</v>
      </c>
      <c r="I46" s="24" t="s">
        <v>159</v>
      </c>
      <c r="J46" s="24" t="s">
        <v>28</v>
      </c>
      <c r="K46" s="24" t="s">
        <v>31</v>
      </c>
      <c r="L46" s="27">
        <v>96891723</v>
      </c>
      <c r="M46" s="30" t="s">
        <v>317</v>
      </c>
      <c r="N46" s="24" t="s">
        <v>319</v>
      </c>
      <c r="O46" s="24" t="s">
        <v>316</v>
      </c>
      <c r="P46" s="31" t="s">
        <v>340</v>
      </c>
      <c r="Q46" s="2">
        <v>0.30909090909090797</v>
      </c>
      <c r="R46" s="24" t="s">
        <v>356</v>
      </c>
      <c r="S46" s="24" t="s">
        <v>30</v>
      </c>
      <c r="T46" s="33">
        <v>43839</v>
      </c>
      <c r="U46" s="24" t="s">
        <v>396</v>
      </c>
      <c r="V46" s="24" t="s">
        <v>428</v>
      </c>
      <c r="W46" s="24">
        <v>6</v>
      </c>
      <c r="X46" s="33" t="s">
        <v>369</v>
      </c>
      <c r="Y46" s="24" t="s">
        <v>392</v>
      </c>
    </row>
    <row r="47" spans="4:25" x14ac:dyDescent="0.25">
      <c r="D47" s="25">
        <v>38</v>
      </c>
      <c r="E47" s="26" t="s">
        <v>254</v>
      </c>
      <c r="F47" s="26" t="s">
        <v>244</v>
      </c>
      <c r="G47" s="26"/>
      <c r="H47" s="26" t="s">
        <v>158</v>
      </c>
      <c r="I47" s="26" t="s">
        <v>159</v>
      </c>
      <c r="J47" s="26" t="s">
        <v>292</v>
      </c>
      <c r="K47" s="26" t="s">
        <v>32</v>
      </c>
      <c r="L47" s="28">
        <v>97550030</v>
      </c>
      <c r="M47" s="29" t="s">
        <v>320</v>
      </c>
      <c r="N47" s="26" t="s">
        <v>301</v>
      </c>
      <c r="O47" s="26" t="s">
        <v>319</v>
      </c>
      <c r="P47" s="32" t="s">
        <v>341</v>
      </c>
      <c r="Q47" s="2">
        <v>0.236363636363638</v>
      </c>
      <c r="R47" s="26" t="s">
        <v>356</v>
      </c>
      <c r="S47" s="26" t="s">
        <v>30</v>
      </c>
      <c r="T47" s="34">
        <v>44075</v>
      </c>
      <c r="U47" s="26" t="s">
        <v>301</v>
      </c>
      <c r="V47" s="26" t="s">
        <v>368</v>
      </c>
      <c r="W47" s="26">
        <v>5</v>
      </c>
      <c r="X47" s="34" t="s">
        <v>369</v>
      </c>
      <c r="Y47" s="26" t="s">
        <v>392</v>
      </c>
    </row>
    <row r="48" spans="4:25" x14ac:dyDescent="0.25">
      <c r="D48" s="23">
        <v>39</v>
      </c>
      <c r="E48" s="24" t="s">
        <v>255</v>
      </c>
      <c r="F48" s="24" t="s">
        <v>256</v>
      </c>
      <c r="G48" s="24"/>
      <c r="H48" s="24" t="s">
        <v>158</v>
      </c>
      <c r="I48" s="24" t="s">
        <v>159</v>
      </c>
      <c r="J48" s="24" t="s">
        <v>28</v>
      </c>
      <c r="K48" s="24" t="s">
        <v>31</v>
      </c>
      <c r="L48" s="27">
        <v>96060677</v>
      </c>
      <c r="M48" s="24" t="s">
        <v>37</v>
      </c>
      <c r="N48" s="24" t="s">
        <v>310</v>
      </c>
      <c r="O48" s="24" t="s">
        <v>316</v>
      </c>
      <c r="P48" s="31" t="s">
        <v>342</v>
      </c>
      <c r="Q48" s="2">
        <v>0.163636363636358</v>
      </c>
      <c r="R48" s="24" t="s">
        <v>356</v>
      </c>
      <c r="S48" s="24" t="s">
        <v>30</v>
      </c>
      <c r="T48" s="33">
        <v>43839</v>
      </c>
      <c r="U48" s="24" t="s">
        <v>310</v>
      </c>
      <c r="V48" s="24" t="s">
        <v>371</v>
      </c>
      <c r="W48" s="24">
        <v>4</v>
      </c>
      <c r="X48" s="33" t="s">
        <v>369</v>
      </c>
      <c r="Y48" s="24" t="s">
        <v>397</v>
      </c>
    </row>
    <row r="49" spans="2:25" x14ac:dyDescent="0.25">
      <c r="D49" s="25">
        <v>40</v>
      </c>
      <c r="E49" s="26" t="s">
        <v>257</v>
      </c>
      <c r="F49" s="26" t="s">
        <v>258</v>
      </c>
      <c r="G49" s="26" t="s">
        <v>259</v>
      </c>
      <c r="H49" s="26" t="s">
        <v>158</v>
      </c>
      <c r="I49" s="26" t="s">
        <v>159</v>
      </c>
      <c r="J49" s="26" t="s">
        <v>292</v>
      </c>
      <c r="K49" s="26" t="s">
        <v>31</v>
      </c>
      <c r="L49" s="28">
        <v>88249413</v>
      </c>
      <c r="M49" s="29" t="s">
        <v>302</v>
      </c>
      <c r="N49" s="26" t="s">
        <v>301</v>
      </c>
      <c r="O49" s="26" t="s">
        <v>319</v>
      </c>
      <c r="P49" s="32" t="s">
        <v>343</v>
      </c>
      <c r="Q49" s="2">
        <v>9.0909090909087706E-2</v>
      </c>
      <c r="R49" s="26" t="s">
        <v>356</v>
      </c>
      <c r="S49" s="26" t="s">
        <v>30</v>
      </c>
      <c r="T49" s="34">
        <v>44075</v>
      </c>
      <c r="U49" s="26" t="s">
        <v>398</v>
      </c>
      <c r="V49" s="26" t="s">
        <v>373</v>
      </c>
      <c r="W49" s="26">
        <v>5</v>
      </c>
      <c r="X49" s="34" t="s">
        <v>369</v>
      </c>
      <c r="Y49" s="26" t="s">
        <v>392</v>
      </c>
    </row>
    <row r="50" spans="2:25" x14ac:dyDescent="0.25">
      <c r="D50" s="23">
        <v>41</v>
      </c>
      <c r="E50" s="24" t="s">
        <v>260</v>
      </c>
      <c r="F50" s="24" t="s">
        <v>261</v>
      </c>
      <c r="G50" s="24" t="s">
        <v>256</v>
      </c>
      <c r="H50" s="24" t="s">
        <v>410</v>
      </c>
      <c r="I50" s="24" t="s">
        <v>159</v>
      </c>
      <c r="J50" s="24" t="s">
        <v>28</v>
      </c>
      <c r="K50" s="24" t="s">
        <v>31</v>
      </c>
      <c r="L50" s="27">
        <v>92440541</v>
      </c>
      <c r="M50" s="30" t="s">
        <v>305</v>
      </c>
      <c r="N50" s="24" t="s">
        <v>301</v>
      </c>
      <c r="O50" s="24" t="s">
        <v>313</v>
      </c>
      <c r="P50" s="31" t="s">
        <v>34</v>
      </c>
      <c r="Q50" s="2">
        <v>1.8181818181817602E-2</v>
      </c>
      <c r="R50" s="24" t="s">
        <v>357</v>
      </c>
      <c r="S50" s="24" t="s">
        <v>34</v>
      </c>
      <c r="T50" s="33">
        <v>43839</v>
      </c>
      <c r="U50" s="24" t="s">
        <v>399</v>
      </c>
      <c r="V50" s="24" t="s">
        <v>373</v>
      </c>
      <c r="W50" s="24">
        <v>4</v>
      </c>
      <c r="X50" s="33" t="s">
        <v>369</v>
      </c>
      <c r="Y50" s="24" t="s">
        <v>390</v>
      </c>
    </row>
    <row r="51" spans="2:25" x14ac:dyDescent="0.25">
      <c r="D51" s="25">
        <v>42</v>
      </c>
      <c r="E51" s="26" t="s">
        <v>263</v>
      </c>
      <c r="F51" s="26" t="s">
        <v>244</v>
      </c>
      <c r="G51" s="26" t="s">
        <v>213</v>
      </c>
      <c r="H51" s="26" t="s">
        <v>158</v>
      </c>
      <c r="I51" s="26" t="s">
        <v>159</v>
      </c>
      <c r="J51" s="26" t="str">
        <f>J49</f>
        <v>Marié</v>
      </c>
      <c r="K51" s="26" t="str">
        <f>K50</f>
        <v>B2</v>
      </c>
      <c r="L51" s="28">
        <v>99792277</v>
      </c>
      <c r="M51" s="29" t="s">
        <v>308</v>
      </c>
      <c r="N51" s="26" t="s">
        <v>310</v>
      </c>
      <c r="O51" s="26" t="s">
        <v>316</v>
      </c>
      <c r="P51" s="32" t="s">
        <v>34</v>
      </c>
      <c r="Q51" s="2">
        <v>-5.4545454545462203E-2</v>
      </c>
      <c r="R51" s="26" t="s">
        <v>357</v>
      </c>
      <c r="S51" s="26" t="s">
        <v>34</v>
      </c>
      <c r="T51" s="34">
        <f>T50</f>
        <v>43839</v>
      </c>
      <c r="U51" s="26" t="s">
        <v>399</v>
      </c>
      <c r="V51" s="26" t="s">
        <v>374</v>
      </c>
      <c r="W51" s="26">
        <v>6</v>
      </c>
      <c r="X51" s="34" t="str">
        <f>X50</f>
        <v>29/9/2021</v>
      </c>
      <c r="Y51" s="26" t="s">
        <v>392</v>
      </c>
    </row>
    <row r="52" spans="2:25" x14ac:dyDescent="0.25">
      <c r="D52" s="23">
        <v>43</v>
      </c>
      <c r="E52" s="24" t="s">
        <v>225</v>
      </c>
      <c r="F52" s="24" t="s">
        <v>264</v>
      </c>
      <c r="G52" s="24" t="s">
        <v>265</v>
      </c>
      <c r="H52" s="24" t="s">
        <v>158</v>
      </c>
      <c r="I52" s="24" t="s">
        <v>159</v>
      </c>
      <c r="J52" s="24" t="s">
        <v>28</v>
      </c>
      <c r="K52" s="24" t="s">
        <v>32</v>
      </c>
      <c r="L52" s="27">
        <v>99560902</v>
      </c>
      <c r="M52" s="30" t="s">
        <v>311</v>
      </c>
      <c r="N52" s="24" t="s">
        <v>313</v>
      </c>
      <c r="O52" s="24" t="s">
        <v>313</v>
      </c>
      <c r="P52" s="31" t="s">
        <v>344</v>
      </c>
      <c r="Q52" s="2">
        <v>-0.12727272727273201</v>
      </c>
      <c r="R52" s="24" t="s">
        <v>356</v>
      </c>
      <c r="S52" s="24" t="s">
        <v>30</v>
      </c>
      <c r="T52" s="33">
        <v>43839</v>
      </c>
      <c r="U52" s="24" t="s">
        <v>400</v>
      </c>
      <c r="V52" s="24" t="s">
        <v>368</v>
      </c>
      <c r="W52" s="24">
        <v>6</v>
      </c>
      <c r="X52" s="33" t="s">
        <v>369</v>
      </c>
      <c r="Y52" s="24" t="s">
        <v>392</v>
      </c>
    </row>
    <row r="53" spans="2:25" x14ac:dyDescent="0.25">
      <c r="D53" s="25">
        <v>44</v>
      </c>
      <c r="E53" s="26" t="s">
        <v>266</v>
      </c>
      <c r="F53" s="26" t="s">
        <v>267</v>
      </c>
      <c r="G53" s="26" t="s">
        <v>268</v>
      </c>
      <c r="H53" s="26" t="s">
        <v>158</v>
      </c>
      <c r="I53" s="26" t="s">
        <v>159</v>
      </c>
      <c r="J53" s="26" t="s">
        <v>292</v>
      </c>
      <c r="K53" s="26" t="s">
        <v>32</v>
      </c>
      <c r="L53" s="28">
        <v>97863829</v>
      </c>
      <c r="M53" s="29" t="s">
        <v>314</v>
      </c>
      <c r="N53" s="26" t="s">
        <v>301</v>
      </c>
      <c r="O53" s="26" t="s">
        <v>316</v>
      </c>
      <c r="P53" s="32" t="s">
        <v>345</v>
      </c>
      <c r="Q53" s="2">
        <v>-0.20000000000000201</v>
      </c>
      <c r="R53" s="26" t="s">
        <v>356</v>
      </c>
      <c r="S53" s="26" t="s">
        <v>30</v>
      </c>
      <c r="T53" s="34">
        <f>T52</f>
        <v>43839</v>
      </c>
      <c r="U53" s="26" t="s">
        <v>401</v>
      </c>
      <c r="V53" s="26" t="s">
        <v>371</v>
      </c>
      <c r="W53" s="26">
        <v>5</v>
      </c>
      <c r="X53" s="34" t="s">
        <v>369</v>
      </c>
      <c r="Y53" s="26" t="s">
        <v>392</v>
      </c>
    </row>
    <row r="54" spans="2:25" x14ac:dyDescent="0.25">
      <c r="D54" s="23">
        <v>45</v>
      </c>
      <c r="E54" s="24" t="s">
        <v>430</v>
      </c>
      <c r="F54" s="24" t="s">
        <v>431</v>
      </c>
      <c r="G54" s="24" t="s">
        <v>269</v>
      </c>
      <c r="H54" s="24" t="s">
        <v>158</v>
      </c>
      <c r="I54" s="24" t="s">
        <v>159</v>
      </c>
      <c r="J54" s="24" t="s">
        <v>28</v>
      </c>
      <c r="K54" s="24" t="s">
        <v>32</v>
      </c>
      <c r="L54" s="27">
        <v>96333862</v>
      </c>
      <c r="M54" s="30" t="s">
        <v>317</v>
      </c>
      <c r="N54" s="24" t="s">
        <v>313</v>
      </c>
      <c r="O54" s="24" t="s">
        <v>319</v>
      </c>
      <c r="P54" s="31" t="s">
        <v>346</v>
      </c>
      <c r="Q54" s="2">
        <v>-0.27272727272727199</v>
      </c>
      <c r="R54" s="24" t="s">
        <v>356</v>
      </c>
      <c r="S54" s="24" t="s">
        <v>30</v>
      </c>
      <c r="T54" s="33">
        <v>43839</v>
      </c>
      <c r="U54" s="24" t="s">
        <v>402</v>
      </c>
      <c r="V54" s="24" t="s">
        <v>373</v>
      </c>
      <c r="W54" s="24">
        <v>4</v>
      </c>
      <c r="X54" s="33" t="s">
        <v>369</v>
      </c>
      <c r="Y54" s="24" t="s">
        <v>392</v>
      </c>
    </row>
    <row r="55" spans="2:25" x14ac:dyDescent="0.25">
      <c r="D55" s="25">
        <v>46</v>
      </c>
      <c r="E55" s="26" t="s">
        <v>270</v>
      </c>
      <c r="F55" s="26" t="s">
        <v>197</v>
      </c>
      <c r="G55" s="26"/>
      <c r="H55" s="26" t="s">
        <v>158</v>
      </c>
      <c r="I55" s="26" t="s">
        <v>159</v>
      </c>
      <c r="J55" s="26" t="s">
        <v>292</v>
      </c>
      <c r="K55" s="26" t="s">
        <v>31</v>
      </c>
      <c r="L55" s="28">
        <v>88094513</v>
      </c>
      <c r="M55" s="29" t="s">
        <v>320</v>
      </c>
      <c r="N55" s="26" t="s">
        <v>301</v>
      </c>
      <c r="O55" s="26" t="s">
        <v>313</v>
      </c>
      <c r="P55" s="32" t="s">
        <v>347</v>
      </c>
      <c r="Q55" s="2">
        <v>-0.34545454545455201</v>
      </c>
      <c r="R55" s="26" t="s">
        <v>356</v>
      </c>
      <c r="S55" s="26" t="s">
        <v>30</v>
      </c>
      <c r="T55" s="34">
        <v>41153</v>
      </c>
      <c r="U55" s="26" t="s">
        <v>398</v>
      </c>
      <c r="V55" s="26" t="s">
        <v>373</v>
      </c>
      <c r="W55" s="26">
        <v>4</v>
      </c>
      <c r="X55" s="34" t="s">
        <v>369</v>
      </c>
      <c r="Y55" s="26" t="s">
        <v>392</v>
      </c>
    </row>
    <row r="56" spans="2:25" x14ac:dyDescent="0.25">
      <c r="D56" s="23">
        <v>47</v>
      </c>
      <c r="E56" s="24" t="s">
        <v>432</v>
      </c>
      <c r="F56" s="24" t="s">
        <v>433</v>
      </c>
      <c r="G56" s="24" t="s">
        <v>271</v>
      </c>
      <c r="H56" s="24" t="s">
        <v>410</v>
      </c>
      <c r="I56" s="24" t="s">
        <v>159</v>
      </c>
      <c r="J56" s="24" t="s">
        <v>288</v>
      </c>
      <c r="K56" s="24" t="s">
        <v>31</v>
      </c>
      <c r="L56" s="27">
        <v>96596136</v>
      </c>
      <c r="M56" s="24" t="s">
        <v>37</v>
      </c>
      <c r="N56" s="24" t="s">
        <v>301</v>
      </c>
      <c r="O56" s="24" t="s">
        <v>316</v>
      </c>
      <c r="P56" s="31" t="s">
        <v>348</v>
      </c>
      <c r="Q56" s="2">
        <v>-0.41818181818182198</v>
      </c>
      <c r="R56" s="24" t="s">
        <v>356</v>
      </c>
      <c r="S56" s="24" t="s">
        <v>30</v>
      </c>
      <c r="T56" s="33">
        <v>40917</v>
      </c>
      <c r="U56" s="24" t="s">
        <v>398</v>
      </c>
      <c r="V56" s="24" t="s">
        <v>428</v>
      </c>
      <c r="W56" s="24">
        <v>4</v>
      </c>
      <c r="X56" s="33" t="s">
        <v>369</v>
      </c>
      <c r="Y56" s="24" t="s">
        <v>390</v>
      </c>
    </row>
    <row r="57" spans="2:25" x14ac:dyDescent="0.25">
      <c r="D57" s="25">
        <v>48</v>
      </c>
      <c r="E57" s="26" t="s">
        <v>272</v>
      </c>
      <c r="F57" s="26" t="s">
        <v>273</v>
      </c>
      <c r="G57" s="26" t="s">
        <v>274</v>
      </c>
      <c r="H57" s="26" t="s">
        <v>410</v>
      </c>
      <c r="I57" s="26" t="s">
        <v>159</v>
      </c>
      <c r="J57" s="26" t="s">
        <v>292</v>
      </c>
      <c r="K57" s="26" t="s">
        <v>32</v>
      </c>
      <c r="L57" s="28">
        <v>96298843</v>
      </c>
      <c r="M57" s="29" t="s">
        <v>302</v>
      </c>
      <c r="N57" s="26" t="s">
        <v>321</v>
      </c>
      <c r="O57" s="26" t="s">
        <v>319</v>
      </c>
      <c r="P57" s="32" t="s">
        <v>349</v>
      </c>
      <c r="Q57" s="2">
        <v>-0.49090909090909302</v>
      </c>
      <c r="R57" s="26" t="s">
        <v>356</v>
      </c>
      <c r="S57" s="26" t="s">
        <v>30</v>
      </c>
      <c r="T57" s="34">
        <v>40848</v>
      </c>
      <c r="U57" s="26" t="s">
        <v>321</v>
      </c>
      <c r="V57" s="26" t="s">
        <v>368</v>
      </c>
      <c r="W57" s="26">
        <v>5</v>
      </c>
      <c r="X57" s="34" t="s">
        <v>369</v>
      </c>
      <c r="Y57" s="26" t="s">
        <v>403</v>
      </c>
    </row>
    <row r="58" spans="2:25" x14ac:dyDescent="0.25">
      <c r="D58" s="23">
        <v>49</v>
      </c>
      <c r="E58" s="24" t="s">
        <v>275</v>
      </c>
      <c r="F58" s="24" t="s">
        <v>434</v>
      </c>
      <c r="G58" s="24" t="s">
        <v>435</v>
      </c>
      <c r="H58" s="24" t="s">
        <v>410</v>
      </c>
      <c r="I58" s="24" t="s">
        <v>159</v>
      </c>
      <c r="J58" s="24" t="s">
        <v>28</v>
      </c>
      <c r="K58" s="24" t="s">
        <v>31</v>
      </c>
      <c r="L58" s="27">
        <v>92632395</v>
      </c>
      <c r="M58" s="30" t="s">
        <v>305</v>
      </c>
      <c r="N58" s="24" t="s">
        <v>301</v>
      </c>
      <c r="O58" s="24" t="s">
        <v>313</v>
      </c>
      <c r="P58" s="31" t="s">
        <v>34</v>
      </c>
      <c r="Q58" s="2">
        <v>-0.56363636363636205</v>
      </c>
      <c r="R58" s="24" t="s">
        <v>357</v>
      </c>
      <c r="S58" s="24" t="s">
        <v>34</v>
      </c>
      <c r="T58" s="33">
        <v>43101</v>
      </c>
      <c r="U58" s="24" t="s">
        <v>301</v>
      </c>
      <c r="V58" s="24" t="s">
        <v>371</v>
      </c>
      <c r="W58" s="24">
        <v>6</v>
      </c>
      <c r="X58" s="33" t="s">
        <v>369</v>
      </c>
      <c r="Y58" s="24" t="s">
        <v>390</v>
      </c>
    </row>
    <row r="59" spans="2:25" x14ac:dyDescent="0.25">
      <c r="D59" s="25">
        <v>50</v>
      </c>
      <c r="E59" s="26" t="s">
        <v>276</v>
      </c>
      <c r="F59" s="26" t="s">
        <v>277</v>
      </c>
      <c r="G59" s="26" t="s">
        <v>278</v>
      </c>
      <c r="H59" s="26" t="s">
        <v>410</v>
      </c>
      <c r="I59" s="26" t="s">
        <v>159</v>
      </c>
      <c r="J59" s="26" t="s">
        <v>292</v>
      </c>
      <c r="K59" s="26" t="s">
        <v>32</v>
      </c>
      <c r="L59" s="28">
        <v>91015310</v>
      </c>
      <c r="M59" s="29" t="s">
        <v>308</v>
      </c>
      <c r="N59" s="26" t="s">
        <v>301</v>
      </c>
      <c r="O59" s="26" t="s">
        <v>316</v>
      </c>
      <c r="P59" s="32" t="s">
        <v>350</v>
      </c>
      <c r="Q59" s="2">
        <v>-0.63636363636364202</v>
      </c>
      <c r="R59" s="26" t="s">
        <v>356</v>
      </c>
      <c r="S59" s="26" t="s">
        <v>30</v>
      </c>
      <c r="T59" s="34">
        <v>45658</v>
      </c>
      <c r="U59" s="26" t="s">
        <v>301</v>
      </c>
      <c r="V59" s="26" t="s">
        <v>373</v>
      </c>
      <c r="W59" s="26">
        <v>6</v>
      </c>
      <c r="X59" s="34" t="s">
        <v>369</v>
      </c>
      <c r="Y59" s="26" t="s">
        <v>404</v>
      </c>
    </row>
    <row r="60" spans="2:25" x14ac:dyDescent="0.25">
      <c r="D60" s="23">
        <v>51</v>
      </c>
      <c r="E60" s="24" t="s">
        <v>214</v>
      </c>
      <c r="F60" s="24" t="s">
        <v>436</v>
      </c>
      <c r="G60" s="24" t="s">
        <v>437</v>
      </c>
      <c r="H60" s="24" t="s">
        <v>158</v>
      </c>
      <c r="I60" s="24" t="s">
        <v>159</v>
      </c>
      <c r="J60" s="24" t="s">
        <v>28</v>
      </c>
      <c r="K60" s="24" t="s">
        <v>32</v>
      </c>
      <c r="L60" s="27">
        <v>97282539</v>
      </c>
      <c r="M60" s="30" t="s">
        <v>311</v>
      </c>
      <c r="N60" s="24" t="s">
        <v>301</v>
      </c>
      <c r="O60" s="24" t="s">
        <v>313</v>
      </c>
      <c r="P60" s="31" t="s">
        <v>34</v>
      </c>
      <c r="Q60" s="2">
        <v>-0.70909090909091199</v>
      </c>
      <c r="R60" s="24" t="s">
        <v>357</v>
      </c>
      <c r="S60" s="24" t="s">
        <v>34</v>
      </c>
      <c r="T60" s="33">
        <v>45658</v>
      </c>
      <c r="U60" s="24" t="s">
        <v>301</v>
      </c>
      <c r="V60" s="24" t="s">
        <v>373</v>
      </c>
      <c r="W60" s="24">
        <v>3</v>
      </c>
      <c r="X60" s="33" t="s">
        <v>369</v>
      </c>
      <c r="Y60" s="24" t="s">
        <v>392</v>
      </c>
    </row>
    <row r="61" spans="2:25" x14ac:dyDescent="0.25">
      <c r="B61">
        <f>COUNT([1]Sheet1!A5:A56)</f>
        <v>52</v>
      </c>
      <c r="D61" s="25">
        <v>52</v>
      </c>
      <c r="E61" s="26" t="s">
        <v>279</v>
      </c>
      <c r="F61" s="26" t="s">
        <v>280</v>
      </c>
      <c r="G61" s="26" t="s">
        <v>281</v>
      </c>
      <c r="H61" s="26" t="s">
        <v>158</v>
      </c>
      <c r="I61" s="26" t="s">
        <v>159</v>
      </c>
      <c r="J61" s="26" t="s">
        <v>292</v>
      </c>
      <c r="K61" s="26" t="s">
        <v>32</v>
      </c>
      <c r="L61" s="28">
        <v>96747969</v>
      </c>
      <c r="M61" s="26" t="s">
        <v>37</v>
      </c>
      <c r="N61" s="26" t="s">
        <v>301</v>
      </c>
      <c r="O61" s="26" t="s">
        <v>316</v>
      </c>
      <c r="P61" s="32" t="s">
        <v>34</v>
      </c>
      <c r="Q61" s="2">
        <v>-0.78181818181818197</v>
      </c>
      <c r="R61" s="26" t="s">
        <v>357</v>
      </c>
      <c r="S61" s="26" t="s">
        <v>34</v>
      </c>
      <c r="T61" s="34">
        <f>T60</f>
        <v>45658</v>
      </c>
      <c r="U61" s="26" t="s">
        <v>301</v>
      </c>
      <c r="V61" s="26" t="s">
        <v>374</v>
      </c>
      <c r="W61" s="26">
        <v>5</v>
      </c>
      <c r="X61" s="34" t="s">
        <v>369</v>
      </c>
      <c r="Y61" s="26" t="s">
        <v>390</v>
      </c>
    </row>
    <row r="62" spans="2:25" x14ac:dyDescent="0.25">
      <c r="D62" s="23">
        <v>53</v>
      </c>
      <c r="E62" s="24" t="s">
        <v>438</v>
      </c>
      <c r="F62" s="24" t="s">
        <v>249</v>
      </c>
      <c r="G62" s="24"/>
      <c r="H62" s="24" t="s">
        <v>158</v>
      </c>
      <c r="I62" s="24" t="s">
        <v>159</v>
      </c>
      <c r="J62" s="24" t="s">
        <v>28</v>
      </c>
      <c r="K62" s="24" t="s">
        <v>32</v>
      </c>
      <c r="L62" s="27">
        <v>98319993</v>
      </c>
      <c r="M62" s="30" t="s">
        <v>302</v>
      </c>
      <c r="N62" s="24" t="s">
        <v>313</v>
      </c>
      <c r="O62" s="24" t="s">
        <v>313</v>
      </c>
      <c r="P62" s="31" t="s">
        <v>351</v>
      </c>
      <c r="Q62" s="2">
        <v>-0.85454545454546205</v>
      </c>
      <c r="R62" s="24" t="s">
        <v>356</v>
      </c>
      <c r="S62" s="24" t="s">
        <v>30</v>
      </c>
      <c r="T62" s="33">
        <v>45658</v>
      </c>
      <c r="U62" s="24" t="s">
        <v>439</v>
      </c>
      <c r="V62" s="24" t="s">
        <v>368</v>
      </c>
      <c r="W62" s="24">
        <v>4</v>
      </c>
      <c r="X62" s="33" t="s">
        <v>369</v>
      </c>
      <c r="Y62" s="24" t="s">
        <v>390</v>
      </c>
    </row>
    <row r="63" spans="2:25" x14ac:dyDescent="0.25">
      <c r="D63" s="25">
        <v>54</v>
      </c>
      <c r="E63" s="26" t="s">
        <v>282</v>
      </c>
      <c r="F63" s="26" t="s">
        <v>283</v>
      </c>
      <c r="G63" s="26" t="s">
        <v>284</v>
      </c>
      <c r="H63" s="26" t="s">
        <v>410</v>
      </c>
      <c r="I63" s="26" t="s">
        <v>159</v>
      </c>
      <c r="J63" s="26" t="s">
        <v>291</v>
      </c>
      <c r="K63" s="26" t="s">
        <v>32</v>
      </c>
      <c r="L63" s="28">
        <v>97658327</v>
      </c>
      <c r="M63" s="29" t="s">
        <v>305</v>
      </c>
      <c r="N63" s="26" t="s">
        <v>321</v>
      </c>
      <c r="O63" s="26" t="s">
        <v>313</v>
      </c>
      <c r="P63" s="32" t="s">
        <v>350</v>
      </c>
      <c r="Q63" s="2">
        <v>-0.92727272727273202</v>
      </c>
      <c r="R63" s="26" t="s">
        <v>357</v>
      </c>
      <c r="S63" s="26" t="s">
        <v>35</v>
      </c>
      <c r="T63" s="34">
        <f>T62</f>
        <v>45658</v>
      </c>
      <c r="U63" s="26" t="s">
        <v>321</v>
      </c>
      <c r="V63" s="26" t="s">
        <v>371</v>
      </c>
      <c r="W63" s="26">
        <v>3</v>
      </c>
      <c r="X63" s="34" t="s">
        <v>369</v>
      </c>
      <c r="Y63" s="26" t="s">
        <v>390</v>
      </c>
    </row>
    <row r="64" spans="2:25" x14ac:dyDescent="0.25">
      <c r="D64" s="23">
        <v>55</v>
      </c>
      <c r="E64" s="24" t="s">
        <v>265</v>
      </c>
      <c r="F64" s="24" t="s">
        <v>440</v>
      </c>
      <c r="G64" s="24" t="s">
        <v>201</v>
      </c>
      <c r="H64" s="24" t="s">
        <v>158</v>
      </c>
      <c r="I64" s="24" t="s">
        <v>159</v>
      </c>
      <c r="J64" s="24" t="s">
        <v>28</v>
      </c>
      <c r="K64" s="24" t="s">
        <v>31</v>
      </c>
      <c r="L64" s="27">
        <v>96291436</v>
      </c>
      <c r="M64" s="30" t="s">
        <v>308</v>
      </c>
      <c r="N64" s="24" t="s">
        <v>301</v>
      </c>
      <c r="O64" s="24" t="s">
        <v>313</v>
      </c>
      <c r="P64" s="31" t="s">
        <v>352</v>
      </c>
      <c r="Q64" s="2">
        <v>-1</v>
      </c>
      <c r="R64" s="24" t="s">
        <v>356</v>
      </c>
      <c r="S64" s="24" t="s">
        <v>30</v>
      </c>
      <c r="T64" s="33">
        <v>43839</v>
      </c>
      <c r="U64" s="24" t="s">
        <v>301</v>
      </c>
      <c r="V64" s="24" t="s">
        <v>373</v>
      </c>
      <c r="W64" s="24">
        <v>5</v>
      </c>
      <c r="X64" s="33" t="s">
        <v>369</v>
      </c>
      <c r="Y64" s="24" t="s">
        <v>390</v>
      </c>
    </row>
    <row r="65" spans="4:25" x14ac:dyDescent="0.25">
      <c r="D65" s="25">
        <v>56</v>
      </c>
      <c r="E65" s="26" t="s">
        <v>285</v>
      </c>
      <c r="F65" s="26" t="s">
        <v>286</v>
      </c>
      <c r="G65" s="26" t="s">
        <v>207</v>
      </c>
      <c r="H65" s="26" t="s">
        <v>410</v>
      </c>
      <c r="I65" s="26" t="s">
        <v>159</v>
      </c>
      <c r="J65" s="26" t="s">
        <v>292</v>
      </c>
      <c r="K65" s="26" t="s">
        <v>32</v>
      </c>
      <c r="L65" s="28">
        <v>97523778</v>
      </c>
      <c r="M65" s="29" t="s">
        <v>311</v>
      </c>
      <c r="N65" s="26" t="s">
        <v>321</v>
      </c>
      <c r="O65" s="26" t="s">
        <v>316</v>
      </c>
      <c r="P65" s="32" t="s">
        <v>34</v>
      </c>
      <c r="Q65" s="2">
        <v>-1.0727272727272701</v>
      </c>
      <c r="R65" s="26" t="s">
        <v>357</v>
      </c>
      <c r="S65" s="26" t="s">
        <v>34</v>
      </c>
      <c r="T65" s="34">
        <f>T66</f>
        <v>43839</v>
      </c>
      <c r="U65" s="26" t="s">
        <v>321</v>
      </c>
      <c r="V65" s="26" t="s">
        <v>373</v>
      </c>
      <c r="W65" s="26">
        <v>6</v>
      </c>
      <c r="X65" s="34" t="s">
        <v>369</v>
      </c>
      <c r="Y65" s="26" t="s">
        <v>390</v>
      </c>
    </row>
    <row r="66" spans="4:25" x14ac:dyDescent="0.25">
      <c r="D66" s="23">
        <v>57</v>
      </c>
      <c r="E66" s="24" t="s">
        <v>441</v>
      </c>
      <c r="F66" s="24" t="s">
        <v>287</v>
      </c>
      <c r="G66" s="24"/>
      <c r="H66" s="24" t="s">
        <v>410</v>
      </c>
      <c r="I66" s="24" t="s">
        <v>159</v>
      </c>
      <c r="J66" s="24" t="s">
        <v>293</v>
      </c>
      <c r="K66" s="24" t="s">
        <v>33</v>
      </c>
      <c r="L66" s="27">
        <v>97946048</v>
      </c>
      <c r="M66" s="30" t="s">
        <v>314</v>
      </c>
      <c r="N66" s="24" t="s">
        <v>301</v>
      </c>
      <c r="O66" s="24" t="s">
        <v>319</v>
      </c>
      <c r="P66" s="31" t="s">
        <v>409</v>
      </c>
      <c r="Q66" s="2">
        <v>-1.1454545454545499</v>
      </c>
      <c r="R66" s="24" t="s">
        <v>357</v>
      </c>
      <c r="S66" s="24" t="s">
        <v>34</v>
      </c>
      <c r="T66" s="33">
        <v>43839</v>
      </c>
      <c r="U66" s="24" t="s">
        <v>301</v>
      </c>
      <c r="V66" s="24" t="s">
        <v>428</v>
      </c>
      <c r="W66" s="24">
        <v>4</v>
      </c>
      <c r="X66" s="33" t="s">
        <v>369</v>
      </c>
      <c r="Y66" s="24" t="s">
        <v>390</v>
      </c>
    </row>
  </sheetData>
  <hyperlinks>
    <hyperlink ref="M17" r:id="rId1" xr:uid="{6A2315E7-00EF-4721-B7CD-8F0EF861324B}"/>
    <hyperlink ref="M22" r:id="rId2" xr:uid="{C383F3D4-145F-48C2-982C-1287921BE65D}"/>
    <hyperlink ref="M19" r:id="rId3" xr:uid="{4EBD6CF4-4A41-4AD4-9B72-3AD2A72F8BD0}"/>
    <hyperlink ref="M20" r:id="rId4" xr:uid="{274F0ED1-A55D-4C42-871F-E2156120210F}"/>
    <hyperlink ref="M18" r:id="rId5" xr:uid="{129CE1CF-62B3-43C7-B12F-3B2C95476C10}"/>
    <hyperlink ref="M21" r:id="rId6" xr:uid="{3DF375D2-FE6F-4D02-A2A1-C42A0D7E4FF7}"/>
    <hyperlink ref="M23" r:id="rId7" xr:uid="{56A14F03-0A78-464C-991C-BE1043848C84}"/>
    <hyperlink ref="M25" r:id="rId8" xr:uid="{886B485F-C7FE-4791-BD97-926EC4D24835}"/>
    <hyperlink ref="M30" r:id="rId9" xr:uid="{A44CD063-5DCC-4F36-B475-8E599B20CF86}"/>
    <hyperlink ref="M27" r:id="rId10" xr:uid="{4AA362C9-6660-4597-BB02-111DD3C5775F}"/>
    <hyperlink ref="M28" r:id="rId11" xr:uid="{1177932C-DBC5-4F99-9F08-7015AA94C243}"/>
    <hyperlink ref="M26" r:id="rId12" xr:uid="{7A9B4B74-EA7D-4DDA-AB48-584622A5B372}"/>
    <hyperlink ref="M29" r:id="rId13" xr:uid="{F6C556C2-7D81-4250-8049-53CA4D84AAA8}"/>
    <hyperlink ref="M31" r:id="rId14" xr:uid="{7D8AA018-7CF0-4452-850E-1F8A64B28207}"/>
    <hyperlink ref="M33" r:id="rId15" xr:uid="{23523024-19F5-4077-BF4A-9B79008E9E17}"/>
    <hyperlink ref="M38" r:id="rId16" xr:uid="{054A5A64-7A51-4C6B-88CE-5091D90BD5E6}"/>
    <hyperlink ref="M35" r:id="rId17" xr:uid="{7DA68E2E-DFB9-40FC-8789-EF945324B7F9}"/>
    <hyperlink ref="M36" r:id="rId18" xr:uid="{3127096A-95D5-4CBA-A1E6-144E8964AD4D}"/>
    <hyperlink ref="M34" r:id="rId19" xr:uid="{154E2B25-871C-4BC1-9A1D-90A6739DF3DB}"/>
    <hyperlink ref="M37" r:id="rId20" xr:uid="{382A9C46-EEF7-4E7E-B1D3-B940F3C454E7}"/>
    <hyperlink ref="M39" r:id="rId21" xr:uid="{5E340E25-6EC7-42D9-B27B-7A98BECB3608}"/>
    <hyperlink ref="M41" r:id="rId22" xr:uid="{4638339C-D5BC-4D61-862C-806AF4CFB7F7}"/>
    <hyperlink ref="M46" r:id="rId23" xr:uid="{DF429403-4B29-454C-9CD2-CFE423B2903F}"/>
    <hyperlink ref="M43" r:id="rId24" xr:uid="{54D45222-CA25-4289-9F67-B9A957E6CE65}"/>
    <hyperlink ref="M44" r:id="rId25" xr:uid="{0DF13295-7911-45B2-927A-443D3530E722}"/>
    <hyperlink ref="M42" r:id="rId26" xr:uid="{31B4CDED-9710-4185-9C06-B1310BE4526D}"/>
    <hyperlink ref="M45" r:id="rId27" xr:uid="{1D75DEC6-ED46-4744-A78C-D3B549FA0A63}"/>
    <hyperlink ref="M47" r:id="rId28" xr:uid="{2FB102CA-4D63-48FA-92C5-C8961A7579A6}"/>
    <hyperlink ref="M49" r:id="rId29" xr:uid="{C0B023E3-932E-48F8-A171-3760AEF638A9}"/>
    <hyperlink ref="M54" r:id="rId30" xr:uid="{5602956A-FAA1-4A09-88C0-5C0461B6BB31}"/>
    <hyperlink ref="M51" r:id="rId31" xr:uid="{3AF35146-EBC0-4D48-9CC2-8B782C73212C}"/>
    <hyperlink ref="M52" r:id="rId32" xr:uid="{40867B5F-536E-4483-AF1A-48453D7650A9}"/>
    <hyperlink ref="M50" r:id="rId33" xr:uid="{284239CD-A149-4498-996D-A785A5601A61}"/>
    <hyperlink ref="M53" r:id="rId34" xr:uid="{4A25FFFC-1C10-47FD-881D-0EEA2E0EAFB8}"/>
    <hyperlink ref="M55" r:id="rId35" xr:uid="{5DBABD92-6D1B-46A9-811C-22EDC970C956}"/>
    <hyperlink ref="M57" r:id="rId36" xr:uid="{445A7276-CEC3-49B0-B54C-A6732E8B3371}"/>
    <hyperlink ref="M59" r:id="rId37" xr:uid="{85F4D617-672D-4182-BAC0-AFD57664D46F}"/>
    <hyperlink ref="M60" r:id="rId38" xr:uid="{6E144373-E0C0-4182-8800-04403B68A050}"/>
    <hyperlink ref="M58" r:id="rId39" xr:uid="{B4950582-F3B7-4E82-994E-7B12204AFA51}"/>
    <hyperlink ref="M62" r:id="rId40" xr:uid="{79F3F1D5-AF44-4958-B390-3856ECCF9EA8}"/>
    <hyperlink ref="M64" r:id="rId41" xr:uid="{9CDD252A-F6D8-4F17-85AC-927B3024558C}"/>
    <hyperlink ref="M65" r:id="rId42" xr:uid="{AABD9FC4-C225-4787-A47F-FF9A81394E53}"/>
    <hyperlink ref="M63" r:id="rId43" xr:uid="{21D0B545-F0C5-40D1-9CE5-4BBCA41BA457}"/>
    <hyperlink ref="M66" r:id="rId44" xr:uid="{2B7667DE-49A2-43D3-B039-968D1B3CF0AA}"/>
  </hyperlinks>
  <pageMargins left="0.7" right="0.7" top="0.75" bottom="0.75" header="0.3" footer="0.3"/>
  <pageSetup paperSize="9" orientation="portrait" r:id="rId45"/>
  <drawing r:id="rId46"/>
  <tableParts count="1">
    <tablePart r:id="rId47"/>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DBFE62-1E68-4960-AD2A-790E7E95EBA0}">
  <sheetPr codeName="Sheet7"/>
  <dimension ref="A1:V1"/>
  <sheetViews>
    <sheetView workbookViewId="0">
      <selection sqref="A1:V1"/>
    </sheetView>
  </sheetViews>
  <sheetFormatPr defaultRowHeight="15" x14ac:dyDescent="0.25"/>
  <sheetData>
    <row r="1" spans="1:22" x14ac:dyDescent="0.25">
      <c r="A1">
        <v>0</v>
      </c>
      <c r="B1">
        <v>0</v>
      </c>
      <c r="C1">
        <v>0</v>
      </c>
      <c r="D1">
        <v>0</v>
      </c>
      <c r="E1">
        <v>0</v>
      </c>
      <c r="F1">
        <v>0</v>
      </c>
      <c r="G1">
        <v>0</v>
      </c>
      <c r="H1">
        <v>0</v>
      </c>
      <c r="I1">
        <v>0</v>
      </c>
      <c r="J1">
        <v>0</v>
      </c>
      <c r="K1">
        <v>0</v>
      </c>
      <c r="L1">
        <v>0</v>
      </c>
      <c r="M1">
        <v>0</v>
      </c>
      <c r="N1">
        <v>0</v>
      </c>
      <c r="O1">
        <v>0</v>
      </c>
      <c r="P1">
        <v>0</v>
      </c>
      <c r="Q1">
        <v>0</v>
      </c>
      <c r="R1">
        <v>0</v>
      </c>
      <c r="S1">
        <v>0</v>
      </c>
      <c r="T1">
        <v>0</v>
      </c>
      <c r="U1">
        <v>0</v>
      </c>
      <c r="V1">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165C4-7A8B-4149-9AAE-4B5E985A76A3}">
  <sheetPr codeName="Sheet9"/>
  <dimension ref="A1:A319"/>
  <sheetViews>
    <sheetView workbookViewId="0"/>
  </sheetViews>
  <sheetFormatPr defaultRowHeight="15" x14ac:dyDescent="0.25"/>
  <cols>
    <col min="1" max="1" width="252" bestFit="1" customWidth="1"/>
  </cols>
  <sheetData>
    <row r="1" spans="1:1" x14ac:dyDescent="0.25">
      <c r="A1" t="s">
        <v>423</v>
      </c>
    </row>
    <row r="2" spans="1:1" x14ac:dyDescent="0.25">
      <c r="A2" t="s">
        <v>49</v>
      </c>
    </row>
    <row r="3" spans="1:1" ht="75" x14ac:dyDescent="0.25">
      <c r="A3" s="13" t="s">
        <v>421</v>
      </c>
    </row>
    <row r="4" spans="1:1" x14ac:dyDescent="0.25">
      <c r="A4" t="s">
        <v>0</v>
      </c>
    </row>
    <row r="5" spans="1:1" x14ac:dyDescent="0.25">
      <c r="A5" t="s">
        <v>424</v>
      </c>
    </row>
    <row r="6" spans="1:1" x14ac:dyDescent="0.25">
      <c r="A6" t="s">
        <v>128</v>
      </c>
    </row>
    <row r="7" spans="1:1" x14ac:dyDescent="0.25">
      <c r="A7" t="s">
        <v>129</v>
      </c>
    </row>
    <row r="8" spans="1:1" x14ac:dyDescent="0.25">
      <c r="A8" t="s">
        <v>130</v>
      </c>
    </row>
    <row r="9" spans="1:1" x14ac:dyDescent="0.25">
      <c r="A9" t="s">
        <v>414</v>
      </c>
    </row>
    <row r="10" spans="1:1" x14ac:dyDescent="0.25">
      <c r="A10" t="s">
        <v>15</v>
      </c>
    </row>
    <row r="11" spans="1:1" x14ac:dyDescent="0.25">
      <c r="A11" t="s">
        <v>150</v>
      </c>
    </row>
    <row r="12" spans="1:1" x14ac:dyDescent="0.25">
      <c r="A12" t="s">
        <v>131</v>
      </c>
    </row>
    <row r="13" spans="1:1" x14ac:dyDescent="0.25">
      <c r="A13" t="s">
        <v>22</v>
      </c>
    </row>
    <row r="14" spans="1:1" x14ac:dyDescent="0.25">
      <c r="A14" t="s">
        <v>147</v>
      </c>
    </row>
    <row r="15" spans="1:1" x14ac:dyDescent="0.25">
      <c r="A15" t="s">
        <v>16</v>
      </c>
    </row>
    <row r="16" spans="1:1" x14ac:dyDescent="0.25">
      <c r="A16" t="s">
        <v>132</v>
      </c>
    </row>
    <row r="17" spans="1:1" x14ac:dyDescent="0.25">
      <c r="A17" t="s">
        <v>156</v>
      </c>
    </row>
    <row r="18" spans="1:1" x14ac:dyDescent="0.25">
      <c r="A18" t="s">
        <v>21</v>
      </c>
    </row>
    <row r="19" spans="1:1" x14ac:dyDescent="0.25">
      <c r="A19" t="s">
        <v>17</v>
      </c>
    </row>
    <row r="20" spans="1:1" x14ac:dyDescent="0.25">
      <c r="A20" t="s">
        <v>154</v>
      </c>
    </row>
    <row r="21" spans="1:1" x14ac:dyDescent="0.25">
      <c r="A21" t="s">
        <v>20</v>
      </c>
    </row>
    <row r="22" spans="1:1" x14ac:dyDescent="0.25">
      <c r="A22" t="s">
        <v>148</v>
      </c>
    </row>
    <row r="23" spans="1:1" x14ac:dyDescent="0.25">
      <c r="A23" t="s">
        <v>151</v>
      </c>
    </row>
    <row r="24" spans="1:1" x14ac:dyDescent="0.25">
      <c r="A24" t="s">
        <v>155</v>
      </c>
    </row>
    <row r="25" spans="1:1" x14ac:dyDescent="0.25">
      <c r="A25" t="s">
        <v>149</v>
      </c>
    </row>
    <row r="26" spans="1:1" x14ac:dyDescent="0.25">
      <c r="A26" t="s">
        <v>152</v>
      </c>
    </row>
    <row r="27" spans="1:1" x14ac:dyDescent="0.25">
      <c r="A27" t="s">
        <v>133</v>
      </c>
    </row>
    <row r="28" spans="1:1" x14ac:dyDescent="0.25">
      <c r="A28" t="s">
        <v>157</v>
      </c>
    </row>
    <row r="29" spans="1:1" x14ac:dyDescent="0.25">
      <c r="A29" t="s">
        <v>153</v>
      </c>
    </row>
    <row r="30" spans="1:1" x14ac:dyDescent="0.25">
      <c r="A30" t="s">
        <v>18</v>
      </c>
    </row>
    <row r="31" spans="1:1" x14ac:dyDescent="0.25">
      <c r="A31" t="s">
        <v>19</v>
      </c>
    </row>
    <row r="32" spans="1:1" x14ac:dyDescent="0.25">
      <c r="A32">
        <v>0</v>
      </c>
    </row>
    <row r="33" spans="1:1" x14ac:dyDescent="0.25">
      <c r="A33" t="s">
        <v>134</v>
      </c>
    </row>
    <row r="34" spans="1:1" x14ac:dyDescent="0.25">
      <c r="A34" t="s">
        <v>135</v>
      </c>
    </row>
    <row r="35" spans="1:1" x14ac:dyDescent="0.25">
      <c r="A35" t="s">
        <v>136</v>
      </c>
    </row>
    <row r="36" spans="1:1" x14ac:dyDescent="0.25">
      <c r="A36" t="s">
        <v>137</v>
      </c>
    </row>
    <row r="37" spans="1:1" x14ac:dyDescent="0.25">
      <c r="A37" t="s">
        <v>141</v>
      </c>
    </row>
    <row r="38" spans="1:1" x14ac:dyDescent="0.25">
      <c r="A38" t="s">
        <v>139</v>
      </c>
    </row>
    <row r="39" spans="1:1" x14ac:dyDescent="0.25">
      <c r="A39" t="s">
        <v>140</v>
      </c>
    </row>
    <row r="40" spans="1:1" x14ac:dyDescent="0.25">
      <c r="A40" t="s">
        <v>142</v>
      </c>
    </row>
    <row r="41" spans="1:1" x14ac:dyDescent="0.25">
      <c r="A41" t="s">
        <v>143</v>
      </c>
    </row>
    <row r="42" spans="1:1" x14ac:dyDescent="0.25">
      <c r="A42" t="s">
        <v>144</v>
      </c>
    </row>
    <row r="43" spans="1:1" x14ac:dyDescent="0.25">
      <c r="A43" t="s">
        <v>145</v>
      </c>
    </row>
    <row r="44" spans="1:1" x14ac:dyDescent="0.25">
      <c r="A44" t="s">
        <v>146</v>
      </c>
    </row>
    <row r="45" spans="1:1" x14ac:dyDescent="0.25">
      <c r="A45" t="s">
        <v>138</v>
      </c>
    </row>
    <row r="46" spans="1:1" x14ac:dyDescent="0.25">
      <c r="A46" t="s">
        <v>1</v>
      </c>
    </row>
    <row r="47" spans="1:1" x14ac:dyDescent="0.25">
      <c r="A47" t="s">
        <v>39</v>
      </c>
    </row>
    <row r="48" spans="1:1" x14ac:dyDescent="0.25">
      <c r="A48" t="s">
        <v>51</v>
      </c>
    </row>
    <row r="49" spans="1:1" x14ac:dyDescent="0.25">
      <c r="A49" t="s">
        <v>42</v>
      </c>
    </row>
    <row r="50" spans="1:1" x14ac:dyDescent="0.25">
      <c r="A50" t="s">
        <v>52</v>
      </c>
    </row>
    <row r="51" spans="1:1" x14ac:dyDescent="0.25">
      <c r="A51" t="s">
        <v>422</v>
      </c>
    </row>
    <row r="52" spans="1:1" x14ac:dyDescent="0.25">
      <c r="A52" t="s">
        <v>53</v>
      </c>
    </row>
    <row r="53" spans="1:1" x14ac:dyDescent="0.25">
      <c r="A53" t="s">
        <v>54</v>
      </c>
    </row>
    <row r="54" spans="1:1" x14ac:dyDescent="0.25">
      <c r="A54" t="s">
        <v>55</v>
      </c>
    </row>
    <row r="55" spans="1:1" x14ac:dyDescent="0.25">
      <c r="A55">
        <v>58</v>
      </c>
    </row>
    <row r="56" spans="1:1" x14ac:dyDescent="0.25">
      <c r="A56" t="s">
        <v>2</v>
      </c>
    </row>
    <row r="57" spans="1:1" x14ac:dyDescent="0.25">
      <c r="A57" t="s">
        <v>57</v>
      </c>
    </row>
    <row r="58" spans="1:1" x14ac:dyDescent="0.25">
      <c r="A58" t="s">
        <v>50</v>
      </c>
    </row>
    <row r="59" spans="1:1" x14ac:dyDescent="0.25">
      <c r="A59" t="s">
        <v>164</v>
      </c>
    </row>
    <row r="60" spans="1:1" x14ac:dyDescent="0.25">
      <c r="A60" t="s">
        <v>3</v>
      </c>
    </row>
    <row r="61" spans="1:1" x14ac:dyDescent="0.25">
      <c r="A61" t="s">
        <v>415</v>
      </c>
    </row>
    <row r="62" spans="1:1" x14ac:dyDescent="0.25">
      <c r="A62" t="s">
        <v>38</v>
      </c>
    </row>
    <row r="63" spans="1:1" x14ac:dyDescent="0.25">
      <c r="A63" t="s">
        <v>4</v>
      </c>
    </row>
    <row r="64" spans="1:1" x14ac:dyDescent="0.25">
      <c r="A64" t="s">
        <v>416</v>
      </c>
    </row>
    <row r="65" spans="1:1" x14ac:dyDescent="0.25">
      <c r="A65" t="s">
        <v>165</v>
      </c>
    </row>
    <row r="66" spans="1:1" x14ac:dyDescent="0.25">
      <c r="A66" t="s">
        <v>5</v>
      </c>
    </row>
    <row r="67" spans="1:1" x14ac:dyDescent="0.25">
      <c r="A67" t="s">
        <v>23</v>
      </c>
    </row>
    <row r="68" spans="1:1" x14ac:dyDescent="0.25">
      <c r="A68" t="s">
        <v>166</v>
      </c>
    </row>
    <row r="69" spans="1:1" x14ac:dyDescent="0.25">
      <c r="A69" t="s">
        <v>6</v>
      </c>
    </row>
    <row r="70" spans="1:1" x14ac:dyDescent="0.25">
      <c r="A70" t="s">
        <v>417</v>
      </c>
    </row>
    <row r="71" spans="1:1" x14ac:dyDescent="0.25">
      <c r="A71" t="s">
        <v>167</v>
      </c>
    </row>
    <row r="72" spans="1:1" x14ac:dyDescent="0.25">
      <c r="A72" t="s">
        <v>7</v>
      </c>
    </row>
    <row r="73" spans="1:1" x14ac:dyDescent="0.25">
      <c r="A73" t="s">
        <v>289</v>
      </c>
    </row>
    <row r="74" spans="1:1" x14ac:dyDescent="0.25">
      <c r="A74" t="s">
        <v>25</v>
      </c>
    </row>
    <row r="75" spans="1:1" x14ac:dyDescent="0.25">
      <c r="A75" t="s">
        <v>8</v>
      </c>
    </row>
    <row r="76" spans="1:1" x14ac:dyDescent="0.25">
      <c r="A76" t="s">
        <v>418</v>
      </c>
    </row>
    <row r="77" spans="1:1" x14ac:dyDescent="0.25">
      <c r="A77" t="s">
        <v>168</v>
      </c>
    </row>
    <row r="78" spans="1:1" x14ac:dyDescent="0.25">
      <c r="A78" t="s">
        <v>9</v>
      </c>
    </row>
    <row r="79" spans="1:1" x14ac:dyDescent="0.25">
      <c r="A79" t="s">
        <v>11</v>
      </c>
    </row>
    <row r="80" spans="1:1" x14ac:dyDescent="0.25">
      <c r="A80" t="s">
        <v>12</v>
      </c>
    </row>
    <row r="81" spans="1:1" x14ac:dyDescent="0.25">
      <c r="A81" t="s">
        <v>13</v>
      </c>
    </row>
    <row r="82" spans="1:1" x14ac:dyDescent="0.25">
      <c r="A82" t="s">
        <v>14</v>
      </c>
    </row>
    <row r="83" spans="1:1" x14ac:dyDescent="0.25">
      <c r="A83" t="s">
        <v>41</v>
      </c>
    </row>
    <row r="84" spans="1:1" x14ac:dyDescent="0.25">
      <c r="A84" t="s">
        <v>56</v>
      </c>
    </row>
    <row r="85" spans="1:1" x14ac:dyDescent="0.25">
      <c r="A85">
        <v>1</v>
      </c>
    </row>
    <row r="86" spans="1:1" x14ac:dyDescent="0.25">
      <c r="A86" t="s">
        <v>36</v>
      </c>
    </row>
    <row r="87" spans="1:1" x14ac:dyDescent="0.25">
      <c r="A87" t="s">
        <v>158</v>
      </c>
    </row>
    <row r="88" spans="1:1" x14ac:dyDescent="0.25">
      <c r="A88" t="s">
        <v>159</v>
      </c>
    </row>
    <row r="89" spans="1:1" x14ac:dyDescent="0.25">
      <c r="A89" t="s">
        <v>288</v>
      </c>
    </row>
    <row r="90" spans="1:1" x14ac:dyDescent="0.25">
      <c r="A90">
        <v>233594056041</v>
      </c>
    </row>
    <row r="91" spans="1:1" x14ac:dyDescent="0.25">
      <c r="A91" t="s">
        <v>37</v>
      </c>
    </row>
    <row r="92" spans="1:1" x14ac:dyDescent="0.25">
      <c r="A92" t="s">
        <v>301</v>
      </c>
    </row>
    <row r="93" spans="1:1" x14ac:dyDescent="0.25">
      <c r="A93" s="1">
        <v>45690</v>
      </c>
    </row>
    <row r="94" spans="1:1" x14ac:dyDescent="0.25">
      <c r="A94">
        <v>5</v>
      </c>
    </row>
    <row r="95" spans="1:1" x14ac:dyDescent="0.25">
      <c r="A95" t="s">
        <v>369</v>
      </c>
    </row>
    <row r="96" spans="1:1" x14ac:dyDescent="0.25">
      <c r="A96">
        <v>232323</v>
      </c>
    </row>
    <row r="97" spans="1:1" x14ac:dyDescent="0.25">
      <c r="A97" t="s">
        <v>169</v>
      </c>
    </row>
    <row r="98" spans="1:1" x14ac:dyDescent="0.25">
      <c r="A98" t="s">
        <v>170</v>
      </c>
    </row>
    <row r="99" spans="1:1" x14ac:dyDescent="0.25">
      <c r="A99" t="s">
        <v>410</v>
      </c>
    </row>
    <row r="100" spans="1:1" x14ac:dyDescent="0.25">
      <c r="A100" t="s">
        <v>28</v>
      </c>
    </row>
    <row r="101" spans="1:1" x14ac:dyDescent="0.25">
      <c r="A101" t="s">
        <v>295</v>
      </c>
    </row>
    <row r="102" spans="1:1" x14ac:dyDescent="0.25">
      <c r="A102" t="s">
        <v>296</v>
      </c>
    </row>
    <row r="103" spans="1:1" x14ac:dyDescent="0.25">
      <c r="A103" t="s">
        <v>304</v>
      </c>
    </row>
    <row r="104" spans="1:1" x14ac:dyDescent="0.25">
      <c r="A104" t="s">
        <v>322</v>
      </c>
    </row>
    <row r="105" spans="1:1" x14ac:dyDescent="0.25">
      <c r="A105" t="s">
        <v>45</v>
      </c>
    </row>
    <row r="106" spans="1:1" x14ac:dyDescent="0.25">
      <c r="A106">
        <v>41815</v>
      </c>
    </row>
    <row r="107" spans="1:1" x14ac:dyDescent="0.25">
      <c r="A107" t="s">
        <v>358</v>
      </c>
    </row>
    <row r="108" spans="1:1" x14ac:dyDescent="0.25">
      <c r="A108" t="s">
        <v>359</v>
      </c>
    </row>
    <row r="109" spans="1:1" x14ac:dyDescent="0.25">
      <c r="A109" t="s">
        <v>360</v>
      </c>
    </row>
    <row r="110" spans="1:1" x14ac:dyDescent="0.25">
      <c r="A110" t="s">
        <v>361</v>
      </c>
    </row>
    <row r="111" spans="1:1" x14ac:dyDescent="0.25">
      <c r="A111">
        <v>2245</v>
      </c>
    </row>
    <row r="112" spans="1:1" x14ac:dyDescent="0.25">
      <c r="A112" t="s">
        <v>174</v>
      </c>
    </row>
    <row r="113" spans="1:1" x14ac:dyDescent="0.25">
      <c r="A113" t="s">
        <v>175</v>
      </c>
    </row>
    <row r="114" spans="1:1" x14ac:dyDescent="0.25">
      <c r="A114" t="s">
        <v>299</v>
      </c>
    </row>
    <row r="115" spans="1:1" x14ac:dyDescent="0.25">
      <c r="A115" t="s">
        <v>300</v>
      </c>
    </row>
    <row r="116" spans="1:1" x14ac:dyDescent="0.25">
      <c r="A116">
        <v>221478</v>
      </c>
    </row>
    <row r="117" spans="1:1" x14ac:dyDescent="0.25">
      <c r="A117" t="s">
        <v>354</v>
      </c>
    </row>
    <row r="118" spans="1:1" x14ac:dyDescent="0.25">
      <c r="A118">
        <v>42111</v>
      </c>
    </row>
    <row r="119" spans="1:1" x14ac:dyDescent="0.25">
      <c r="A119" t="s">
        <v>364</v>
      </c>
    </row>
    <row r="120" spans="1:1" x14ac:dyDescent="0.25">
      <c r="A120" t="s">
        <v>365</v>
      </c>
    </row>
    <row r="121" spans="1:1" x14ac:dyDescent="0.25">
      <c r="A121" t="s">
        <v>366</v>
      </c>
    </row>
    <row r="122" spans="1:1" x14ac:dyDescent="0.25">
      <c r="A122">
        <v>37319</v>
      </c>
    </row>
    <row r="123" spans="1:1" x14ac:dyDescent="0.25">
      <c r="A123">
        <v>3</v>
      </c>
    </row>
    <row r="124" spans="1:1" x14ac:dyDescent="0.25">
      <c r="A124" t="s">
        <v>182</v>
      </c>
    </row>
    <row r="125" spans="1:1" x14ac:dyDescent="0.25">
      <c r="A125" t="s">
        <v>183</v>
      </c>
    </row>
    <row r="126" spans="1:1" x14ac:dyDescent="0.25">
      <c r="A126" t="s">
        <v>184</v>
      </c>
    </row>
    <row r="127" spans="1:1" x14ac:dyDescent="0.25">
      <c r="A127" t="s">
        <v>26</v>
      </c>
    </row>
    <row r="128" spans="1:1" x14ac:dyDescent="0.25">
      <c r="A128">
        <v>1222717884</v>
      </c>
    </row>
    <row r="129" spans="1:1" x14ac:dyDescent="0.25">
      <c r="A129" t="s">
        <v>305</v>
      </c>
    </row>
    <row r="130" spans="1:1" x14ac:dyDescent="0.25">
      <c r="A130" t="s">
        <v>306</v>
      </c>
    </row>
    <row r="131" spans="1:1" x14ac:dyDescent="0.25">
      <c r="A131" t="s">
        <v>307</v>
      </c>
    </row>
    <row r="132" spans="1:1" x14ac:dyDescent="0.25">
      <c r="A132">
        <v>50413106</v>
      </c>
    </row>
    <row r="133" spans="1:1" x14ac:dyDescent="0.25">
      <c r="A133" t="s">
        <v>425</v>
      </c>
    </row>
    <row r="134" spans="1:1" x14ac:dyDescent="0.25">
      <c r="A134" s="1">
        <v>37530</v>
      </c>
    </row>
    <row r="135" spans="1:1" x14ac:dyDescent="0.25">
      <c r="A135" t="s">
        <v>367</v>
      </c>
    </row>
    <row r="136" spans="1:1" x14ac:dyDescent="0.25">
      <c r="A136" t="s">
        <v>371</v>
      </c>
    </row>
    <row r="137" spans="1:1" x14ac:dyDescent="0.25">
      <c r="A137">
        <v>27</v>
      </c>
    </row>
    <row r="138" spans="1:1" x14ac:dyDescent="0.25">
      <c r="A138" t="s">
        <v>372</v>
      </c>
    </row>
    <row r="139" spans="1:1" x14ac:dyDescent="0.25">
      <c r="A139" t="s">
        <v>188</v>
      </c>
    </row>
    <row r="140" spans="1:1" x14ac:dyDescent="0.25">
      <c r="A140" t="s">
        <v>189</v>
      </c>
    </row>
    <row r="141" spans="1:1" x14ac:dyDescent="0.25">
      <c r="A141" t="s">
        <v>190</v>
      </c>
    </row>
    <row r="142" spans="1:1" x14ac:dyDescent="0.25">
      <c r="A142" t="s">
        <v>24</v>
      </c>
    </row>
    <row r="143" spans="1:1" x14ac:dyDescent="0.25">
      <c r="A143">
        <v>1001833810</v>
      </c>
    </row>
    <row r="144" spans="1:1" x14ac:dyDescent="0.25">
      <c r="A144" t="s">
        <v>311</v>
      </c>
    </row>
    <row r="145" spans="1:1" x14ac:dyDescent="0.25">
      <c r="A145" t="s">
        <v>312</v>
      </c>
    </row>
    <row r="146" spans="1:1" x14ac:dyDescent="0.25">
      <c r="A146" t="s">
        <v>313</v>
      </c>
    </row>
    <row r="147" spans="1:1" x14ac:dyDescent="0.25">
      <c r="A147">
        <v>51532802</v>
      </c>
    </row>
    <row r="148" spans="1:1" x14ac:dyDescent="0.25">
      <c r="A148" t="s">
        <v>373</v>
      </c>
    </row>
    <row r="149" spans="1:1" x14ac:dyDescent="0.25">
      <c r="A149">
        <v>7</v>
      </c>
    </row>
    <row r="150" spans="1:1" x14ac:dyDescent="0.25">
      <c r="A150" t="s">
        <v>194</v>
      </c>
    </row>
    <row r="151" spans="1:1" x14ac:dyDescent="0.25">
      <c r="A151" t="s">
        <v>195</v>
      </c>
    </row>
    <row r="152" spans="1:1" x14ac:dyDescent="0.25">
      <c r="A152" t="s">
        <v>196</v>
      </c>
    </row>
    <row r="153" spans="1:1" x14ac:dyDescent="0.25">
      <c r="A153">
        <v>1002224649</v>
      </c>
    </row>
    <row r="154" spans="1:1" x14ac:dyDescent="0.25">
      <c r="A154" t="s">
        <v>317</v>
      </c>
    </row>
    <row r="155" spans="1:1" x14ac:dyDescent="0.25">
      <c r="A155" t="s">
        <v>318</v>
      </c>
    </row>
    <row r="156" spans="1:1" x14ac:dyDescent="0.25">
      <c r="A156" t="s">
        <v>319</v>
      </c>
    </row>
    <row r="157" spans="1:1" x14ac:dyDescent="0.25">
      <c r="A157">
        <v>51780601</v>
      </c>
    </row>
    <row r="158" spans="1:1" x14ac:dyDescent="0.25">
      <c r="A158" t="s">
        <v>368</v>
      </c>
    </row>
    <row r="159" spans="1:1" x14ac:dyDescent="0.25">
      <c r="A159" t="s">
        <v>376</v>
      </c>
    </row>
    <row r="160" spans="1:1" x14ac:dyDescent="0.25">
      <c r="A160">
        <v>13</v>
      </c>
    </row>
    <row r="161" spans="1:1" x14ac:dyDescent="0.25">
      <c r="A161" t="s">
        <v>426</v>
      </c>
    </row>
    <row r="162" spans="1:1" x14ac:dyDescent="0.25">
      <c r="A162" t="s">
        <v>200</v>
      </c>
    </row>
    <row r="163" spans="1:1" x14ac:dyDescent="0.25">
      <c r="A163" t="s">
        <v>201</v>
      </c>
    </row>
    <row r="164" spans="1:1" x14ac:dyDescent="0.25">
      <c r="A164" t="s">
        <v>291</v>
      </c>
    </row>
    <row r="165" spans="1:1" x14ac:dyDescent="0.25">
      <c r="A165" t="s">
        <v>32</v>
      </c>
    </row>
    <row r="166" spans="1:1" x14ac:dyDescent="0.25">
      <c r="A166">
        <v>96384993</v>
      </c>
    </row>
    <row r="167" spans="1:1" x14ac:dyDescent="0.25">
      <c r="A167" t="s">
        <v>321</v>
      </c>
    </row>
    <row r="168" spans="1:1" x14ac:dyDescent="0.25">
      <c r="A168" t="s">
        <v>316</v>
      </c>
    </row>
    <row r="169" spans="1:1" x14ac:dyDescent="0.25">
      <c r="A169" t="s">
        <v>324</v>
      </c>
    </row>
    <row r="170" spans="1:1" x14ac:dyDescent="0.25">
      <c r="A170" t="s">
        <v>356</v>
      </c>
    </row>
    <row r="171" spans="1:1" x14ac:dyDescent="0.25">
      <c r="A171" t="s">
        <v>30</v>
      </c>
    </row>
    <row r="172" spans="1:1" x14ac:dyDescent="0.25">
      <c r="A172" t="s">
        <v>379</v>
      </c>
    </row>
    <row r="173" spans="1:1" x14ac:dyDescent="0.25">
      <c r="A173">
        <v>2</v>
      </c>
    </row>
    <row r="174" spans="1:1" x14ac:dyDescent="0.25">
      <c r="A174" t="s">
        <v>380</v>
      </c>
    </row>
    <row r="175" spans="1:1" x14ac:dyDescent="0.25">
      <c r="A175">
        <v>15</v>
      </c>
    </row>
    <row r="176" spans="1:1" x14ac:dyDescent="0.25">
      <c r="A176" t="s">
        <v>205</v>
      </c>
    </row>
    <row r="177" spans="1:1" x14ac:dyDescent="0.25">
      <c r="A177" t="s">
        <v>427</v>
      </c>
    </row>
    <row r="178" spans="1:1" x14ac:dyDescent="0.25">
      <c r="A178" t="s">
        <v>206</v>
      </c>
    </row>
    <row r="179" spans="1:1" x14ac:dyDescent="0.25">
      <c r="A179" t="s">
        <v>292</v>
      </c>
    </row>
    <row r="180" spans="1:1" x14ac:dyDescent="0.25">
      <c r="A180">
        <v>98412271</v>
      </c>
    </row>
    <row r="181" spans="1:1" x14ac:dyDescent="0.25">
      <c r="A181" t="s">
        <v>326</v>
      </c>
    </row>
    <row r="182" spans="1:1" x14ac:dyDescent="0.25">
      <c r="A182" s="1">
        <v>43839</v>
      </c>
    </row>
    <row r="183" spans="1:1" x14ac:dyDescent="0.25">
      <c r="A183" t="s">
        <v>377</v>
      </c>
    </row>
    <row r="184" spans="1:1" x14ac:dyDescent="0.25">
      <c r="A184" t="s">
        <v>428</v>
      </c>
    </row>
    <row r="185" spans="1:1" x14ac:dyDescent="0.25">
      <c r="A185">
        <v>4</v>
      </c>
    </row>
    <row r="186" spans="1:1" x14ac:dyDescent="0.25">
      <c r="A186" t="s">
        <v>383</v>
      </c>
    </row>
    <row r="187" spans="1:1" x14ac:dyDescent="0.25">
      <c r="A187">
        <v>18</v>
      </c>
    </row>
    <row r="188" spans="1:1" x14ac:dyDescent="0.25">
      <c r="A188" t="s">
        <v>209</v>
      </c>
    </row>
    <row r="189" spans="1:1" x14ac:dyDescent="0.25">
      <c r="A189" t="s">
        <v>210</v>
      </c>
    </row>
    <row r="190" spans="1:1" x14ac:dyDescent="0.25">
      <c r="A190">
        <v>98806660</v>
      </c>
    </row>
    <row r="191" spans="1:1" x14ac:dyDescent="0.25">
      <c r="A191" t="s">
        <v>328</v>
      </c>
    </row>
    <row r="192" spans="1:1" x14ac:dyDescent="0.25">
      <c r="A192" t="s">
        <v>386</v>
      </c>
    </row>
    <row r="193" spans="1:1" x14ac:dyDescent="0.25">
      <c r="A193">
        <v>20</v>
      </c>
    </row>
    <row r="194" spans="1:1" x14ac:dyDescent="0.25">
      <c r="A194" t="s">
        <v>213</v>
      </c>
    </row>
    <row r="195" spans="1:1" x14ac:dyDescent="0.25">
      <c r="A195" t="s">
        <v>214</v>
      </c>
    </row>
    <row r="196" spans="1:1" x14ac:dyDescent="0.25">
      <c r="A196" t="s">
        <v>215</v>
      </c>
    </row>
    <row r="197" spans="1:1" x14ac:dyDescent="0.25">
      <c r="A197" t="s">
        <v>29</v>
      </c>
    </row>
    <row r="198" spans="1:1" x14ac:dyDescent="0.25">
      <c r="A198">
        <v>90010170</v>
      </c>
    </row>
    <row r="199" spans="1:1" x14ac:dyDescent="0.25">
      <c r="A199" t="s">
        <v>330</v>
      </c>
    </row>
    <row r="200" spans="1:1" x14ac:dyDescent="0.25">
      <c r="A200" s="1">
        <v>37996</v>
      </c>
    </row>
    <row r="201" spans="1:1" x14ac:dyDescent="0.25">
      <c r="A201" t="s">
        <v>388</v>
      </c>
    </row>
    <row r="202" spans="1:1" x14ac:dyDescent="0.25">
      <c r="A202" t="s">
        <v>389</v>
      </c>
    </row>
    <row r="203" spans="1:1" x14ac:dyDescent="0.25">
      <c r="A203">
        <v>22</v>
      </c>
    </row>
    <row r="204" spans="1:1" x14ac:dyDescent="0.25">
      <c r="A204" t="s">
        <v>219</v>
      </c>
    </row>
    <row r="205" spans="1:1" x14ac:dyDescent="0.25">
      <c r="A205">
        <v>99316323</v>
      </c>
    </row>
    <row r="206" spans="1:1" x14ac:dyDescent="0.25">
      <c r="A206" t="s">
        <v>332</v>
      </c>
    </row>
    <row r="207" spans="1:1" x14ac:dyDescent="0.25">
      <c r="A207" s="1">
        <v>40554</v>
      </c>
    </row>
    <row r="208" spans="1:1" x14ac:dyDescent="0.25">
      <c r="A208" t="s">
        <v>384</v>
      </c>
    </row>
    <row r="209" spans="1:1" x14ac:dyDescent="0.25">
      <c r="A209" t="s">
        <v>391</v>
      </c>
    </row>
    <row r="210" spans="1:1" x14ac:dyDescent="0.25">
      <c r="A210">
        <v>24</v>
      </c>
    </row>
    <row r="211" spans="1:1" x14ac:dyDescent="0.25">
      <c r="A211" t="s">
        <v>223</v>
      </c>
    </row>
    <row r="212" spans="1:1" x14ac:dyDescent="0.25">
      <c r="A212" t="s">
        <v>224</v>
      </c>
    </row>
    <row r="213" spans="1:1" x14ac:dyDescent="0.25">
      <c r="A213" t="s">
        <v>225</v>
      </c>
    </row>
    <row r="214" spans="1:1" x14ac:dyDescent="0.25">
      <c r="A214" t="s">
        <v>31</v>
      </c>
    </row>
    <row r="215" spans="1:1" x14ac:dyDescent="0.25">
      <c r="A215">
        <v>97682031</v>
      </c>
    </row>
    <row r="216" spans="1:1" x14ac:dyDescent="0.25">
      <c r="A216" t="s">
        <v>334</v>
      </c>
    </row>
    <row r="217" spans="1:1" x14ac:dyDescent="0.25">
      <c r="A217" s="1">
        <v>40550</v>
      </c>
    </row>
    <row r="218" spans="1:1" x14ac:dyDescent="0.25">
      <c r="A218" t="s">
        <v>392</v>
      </c>
    </row>
    <row r="219" spans="1:1" x14ac:dyDescent="0.25">
      <c r="A219">
        <v>26</v>
      </c>
    </row>
    <row r="220" spans="1:1" x14ac:dyDescent="0.25">
      <c r="A220" t="s">
        <v>429</v>
      </c>
    </row>
    <row r="221" spans="1:1" x14ac:dyDescent="0.25">
      <c r="A221" t="s">
        <v>229</v>
      </c>
    </row>
    <row r="222" spans="1:1" x14ac:dyDescent="0.25">
      <c r="A222" t="s">
        <v>230</v>
      </c>
    </row>
    <row r="223" spans="1:1" x14ac:dyDescent="0.25">
      <c r="A223">
        <v>92342978</v>
      </c>
    </row>
    <row r="224" spans="1:1" x14ac:dyDescent="0.25">
      <c r="A224" t="s">
        <v>34</v>
      </c>
    </row>
    <row r="225" spans="1:1" x14ac:dyDescent="0.25">
      <c r="A225" t="s">
        <v>357</v>
      </c>
    </row>
    <row r="226" spans="1:1" x14ac:dyDescent="0.25">
      <c r="A226" s="1">
        <v>43837</v>
      </c>
    </row>
    <row r="227" spans="1:1" x14ac:dyDescent="0.25">
      <c r="A227" t="s">
        <v>390</v>
      </c>
    </row>
    <row r="228" spans="1:1" x14ac:dyDescent="0.25">
      <c r="A228">
        <v>28</v>
      </c>
    </row>
    <row r="229" spans="1:1" x14ac:dyDescent="0.25">
      <c r="A229" t="s">
        <v>197</v>
      </c>
    </row>
    <row r="230" spans="1:1" x14ac:dyDescent="0.25">
      <c r="A230" t="s">
        <v>233</v>
      </c>
    </row>
    <row r="231" spans="1:1" x14ac:dyDescent="0.25">
      <c r="A231">
        <v>88314028</v>
      </c>
    </row>
    <row r="232" spans="1:1" x14ac:dyDescent="0.25">
      <c r="A232">
        <v>30</v>
      </c>
    </row>
    <row r="233" spans="1:1" x14ac:dyDescent="0.25">
      <c r="A233" t="s">
        <v>236</v>
      </c>
    </row>
    <row r="234" spans="1:1" x14ac:dyDescent="0.25">
      <c r="A234" t="s">
        <v>237</v>
      </c>
    </row>
    <row r="235" spans="1:1" x14ac:dyDescent="0.25">
      <c r="A235" t="s">
        <v>238</v>
      </c>
    </row>
    <row r="236" spans="1:1" x14ac:dyDescent="0.25">
      <c r="A236">
        <v>98008126</v>
      </c>
    </row>
    <row r="237" spans="1:1" x14ac:dyDescent="0.25">
      <c r="A237">
        <v>32</v>
      </c>
    </row>
    <row r="238" spans="1:1" x14ac:dyDescent="0.25">
      <c r="A238" t="s">
        <v>242</v>
      </c>
    </row>
    <row r="239" spans="1:1" x14ac:dyDescent="0.25">
      <c r="A239" t="s">
        <v>243</v>
      </c>
    </row>
    <row r="240" spans="1:1" x14ac:dyDescent="0.25">
      <c r="A240" t="s">
        <v>244</v>
      </c>
    </row>
    <row r="241" spans="1:1" x14ac:dyDescent="0.25">
      <c r="A241">
        <v>94471980</v>
      </c>
    </row>
    <row r="242" spans="1:1" x14ac:dyDescent="0.25">
      <c r="A242">
        <v>712012</v>
      </c>
    </row>
    <row r="243" spans="1:1" x14ac:dyDescent="0.25">
      <c r="A243" t="s">
        <v>395</v>
      </c>
    </row>
    <row r="244" spans="1:1" x14ac:dyDescent="0.25">
      <c r="A244">
        <v>34</v>
      </c>
    </row>
    <row r="245" spans="1:1" x14ac:dyDescent="0.25">
      <c r="A245" t="s">
        <v>248</v>
      </c>
    </row>
    <row r="246" spans="1:1" x14ac:dyDescent="0.25">
      <c r="A246" t="s">
        <v>249</v>
      </c>
    </row>
    <row r="247" spans="1:1" x14ac:dyDescent="0.25">
      <c r="A247" t="s">
        <v>250</v>
      </c>
    </row>
    <row r="248" spans="1:1" x14ac:dyDescent="0.25">
      <c r="A248">
        <v>96644030</v>
      </c>
    </row>
    <row r="249" spans="1:1" x14ac:dyDescent="0.25">
      <c r="A249">
        <v>37</v>
      </c>
    </row>
    <row r="250" spans="1:1" x14ac:dyDescent="0.25">
      <c r="A250" t="s">
        <v>252</v>
      </c>
    </row>
    <row r="251" spans="1:1" x14ac:dyDescent="0.25">
      <c r="A251" t="s">
        <v>253</v>
      </c>
    </row>
    <row r="252" spans="1:1" x14ac:dyDescent="0.25">
      <c r="A252">
        <v>96891723</v>
      </c>
    </row>
    <row r="253" spans="1:1" x14ac:dyDescent="0.25">
      <c r="A253" t="s">
        <v>340</v>
      </c>
    </row>
    <row r="254" spans="1:1" x14ac:dyDescent="0.25">
      <c r="A254" t="s">
        <v>396</v>
      </c>
    </row>
    <row r="255" spans="1:1" x14ac:dyDescent="0.25">
      <c r="A255">
        <v>6</v>
      </c>
    </row>
    <row r="256" spans="1:1" x14ac:dyDescent="0.25">
      <c r="A256">
        <v>39</v>
      </c>
    </row>
    <row r="257" spans="1:1" x14ac:dyDescent="0.25">
      <c r="A257" t="s">
        <v>255</v>
      </c>
    </row>
    <row r="258" spans="1:1" x14ac:dyDescent="0.25">
      <c r="A258" t="s">
        <v>256</v>
      </c>
    </row>
    <row r="259" spans="1:1" x14ac:dyDescent="0.25">
      <c r="A259">
        <v>96060677</v>
      </c>
    </row>
    <row r="260" spans="1:1" x14ac:dyDescent="0.25">
      <c r="A260" t="s">
        <v>310</v>
      </c>
    </row>
    <row r="261" spans="1:1" x14ac:dyDescent="0.25">
      <c r="A261" t="s">
        <v>342</v>
      </c>
    </row>
    <row r="262" spans="1:1" x14ac:dyDescent="0.25">
      <c r="A262" t="s">
        <v>397</v>
      </c>
    </row>
    <row r="263" spans="1:1" x14ac:dyDescent="0.25">
      <c r="A263">
        <v>41</v>
      </c>
    </row>
    <row r="264" spans="1:1" x14ac:dyDescent="0.25">
      <c r="A264" t="s">
        <v>260</v>
      </c>
    </row>
    <row r="265" spans="1:1" x14ac:dyDescent="0.25">
      <c r="A265" t="s">
        <v>261</v>
      </c>
    </row>
    <row r="266" spans="1:1" x14ac:dyDescent="0.25">
      <c r="A266" t="s">
        <v>262</v>
      </c>
    </row>
    <row r="267" spans="1:1" x14ac:dyDescent="0.25">
      <c r="A267">
        <v>92440541</v>
      </c>
    </row>
    <row r="268" spans="1:1" x14ac:dyDescent="0.25">
      <c r="A268" t="s">
        <v>399</v>
      </c>
    </row>
    <row r="269" spans="1:1" x14ac:dyDescent="0.25">
      <c r="A269">
        <v>43</v>
      </c>
    </row>
    <row r="270" spans="1:1" x14ac:dyDescent="0.25">
      <c r="A270" t="s">
        <v>264</v>
      </c>
    </row>
    <row r="271" spans="1:1" x14ac:dyDescent="0.25">
      <c r="A271" t="s">
        <v>265</v>
      </c>
    </row>
    <row r="272" spans="1:1" x14ac:dyDescent="0.25">
      <c r="A272">
        <v>99560902</v>
      </c>
    </row>
    <row r="273" spans="1:1" x14ac:dyDescent="0.25">
      <c r="A273" t="s">
        <v>344</v>
      </c>
    </row>
    <row r="274" spans="1:1" x14ac:dyDescent="0.25">
      <c r="A274" t="s">
        <v>400</v>
      </c>
    </row>
    <row r="275" spans="1:1" x14ac:dyDescent="0.25">
      <c r="A275">
        <v>45</v>
      </c>
    </row>
    <row r="276" spans="1:1" x14ac:dyDescent="0.25">
      <c r="A276" t="s">
        <v>430</v>
      </c>
    </row>
    <row r="277" spans="1:1" x14ac:dyDescent="0.25">
      <c r="A277" t="s">
        <v>431</v>
      </c>
    </row>
    <row r="278" spans="1:1" x14ac:dyDescent="0.25">
      <c r="A278" t="s">
        <v>269</v>
      </c>
    </row>
    <row r="279" spans="1:1" x14ac:dyDescent="0.25">
      <c r="A279">
        <v>96333862</v>
      </c>
    </row>
    <row r="280" spans="1:1" x14ac:dyDescent="0.25">
      <c r="A280" t="s">
        <v>346</v>
      </c>
    </row>
    <row r="281" spans="1:1" x14ac:dyDescent="0.25">
      <c r="A281" t="s">
        <v>402</v>
      </c>
    </row>
    <row r="282" spans="1:1" x14ac:dyDescent="0.25">
      <c r="A282">
        <v>47</v>
      </c>
    </row>
    <row r="283" spans="1:1" x14ac:dyDescent="0.25">
      <c r="A283" t="s">
        <v>432</v>
      </c>
    </row>
    <row r="284" spans="1:1" x14ac:dyDescent="0.25">
      <c r="A284" t="s">
        <v>433</v>
      </c>
    </row>
    <row r="285" spans="1:1" x14ac:dyDescent="0.25">
      <c r="A285" t="s">
        <v>271</v>
      </c>
    </row>
    <row r="286" spans="1:1" x14ac:dyDescent="0.25">
      <c r="A286">
        <v>96596136</v>
      </c>
    </row>
    <row r="287" spans="1:1" x14ac:dyDescent="0.25">
      <c r="A287" t="s">
        <v>348</v>
      </c>
    </row>
    <row r="288" spans="1:1" x14ac:dyDescent="0.25">
      <c r="A288" s="1">
        <v>40917</v>
      </c>
    </row>
    <row r="289" spans="1:1" x14ac:dyDescent="0.25">
      <c r="A289" t="s">
        <v>398</v>
      </c>
    </row>
    <row r="290" spans="1:1" x14ac:dyDescent="0.25">
      <c r="A290">
        <v>49</v>
      </c>
    </row>
    <row r="291" spans="1:1" x14ac:dyDescent="0.25">
      <c r="A291" t="s">
        <v>275</v>
      </c>
    </row>
    <row r="292" spans="1:1" x14ac:dyDescent="0.25">
      <c r="A292" t="s">
        <v>434</v>
      </c>
    </row>
    <row r="293" spans="1:1" x14ac:dyDescent="0.25">
      <c r="A293" t="s">
        <v>435</v>
      </c>
    </row>
    <row r="294" spans="1:1" x14ac:dyDescent="0.25">
      <c r="A294">
        <v>92632395</v>
      </c>
    </row>
    <row r="295" spans="1:1" x14ac:dyDescent="0.25">
      <c r="A295" s="1">
        <v>43101</v>
      </c>
    </row>
    <row r="296" spans="1:1" x14ac:dyDescent="0.25">
      <c r="A296">
        <v>51</v>
      </c>
    </row>
    <row r="297" spans="1:1" x14ac:dyDescent="0.25">
      <c r="A297" t="s">
        <v>436</v>
      </c>
    </row>
    <row r="298" spans="1:1" x14ac:dyDescent="0.25">
      <c r="A298" t="s">
        <v>437</v>
      </c>
    </row>
    <row r="299" spans="1:1" x14ac:dyDescent="0.25">
      <c r="A299">
        <v>97282539</v>
      </c>
    </row>
    <row r="300" spans="1:1" x14ac:dyDescent="0.25">
      <c r="A300" s="1">
        <v>45658</v>
      </c>
    </row>
    <row r="301" spans="1:1" x14ac:dyDescent="0.25">
      <c r="A301">
        <v>53</v>
      </c>
    </row>
    <row r="302" spans="1:1" x14ac:dyDescent="0.25">
      <c r="A302" t="s">
        <v>438</v>
      </c>
    </row>
    <row r="303" spans="1:1" x14ac:dyDescent="0.25">
      <c r="A303">
        <v>98319993</v>
      </c>
    </row>
    <row r="304" spans="1:1" x14ac:dyDescent="0.25">
      <c r="A304" t="s">
        <v>302</v>
      </c>
    </row>
    <row r="305" spans="1:1" x14ac:dyDescent="0.25">
      <c r="A305" t="s">
        <v>351</v>
      </c>
    </row>
    <row r="306" spans="1:1" x14ac:dyDescent="0.25">
      <c r="A306" t="s">
        <v>439</v>
      </c>
    </row>
    <row r="307" spans="1:1" x14ac:dyDescent="0.25">
      <c r="A307">
        <v>55</v>
      </c>
    </row>
    <row r="308" spans="1:1" x14ac:dyDescent="0.25">
      <c r="A308" t="s">
        <v>440</v>
      </c>
    </row>
    <row r="309" spans="1:1" x14ac:dyDescent="0.25">
      <c r="A309">
        <v>96291436</v>
      </c>
    </row>
    <row r="310" spans="1:1" x14ac:dyDescent="0.25">
      <c r="A310" t="s">
        <v>308</v>
      </c>
    </row>
    <row r="311" spans="1:1" x14ac:dyDescent="0.25">
      <c r="A311" t="s">
        <v>352</v>
      </c>
    </row>
    <row r="312" spans="1:1" x14ac:dyDescent="0.25">
      <c r="A312">
        <v>57</v>
      </c>
    </row>
    <row r="313" spans="1:1" x14ac:dyDescent="0.25">
      <c r="A313" t="s">
        <v>441</v>
      </c>
    </row>
    <row r="314" spans="1:1" x14ac:dyDescent="0.25">
      <c r="A314" t="s">
        <v>287</v>
      </c>
    </row>
    <row r="315" spans="1:1" x14ac:dyDescent="0.25">
      <c r="A315" t="s">
        <v>293</v>
      </c>
    </row>
    <row r="316" spans="1:1" x14ac:dyDescent="0.25">
      <c r="A316" t="s">
        <v>33</v>
      </c>
    </row>
    <row r="317" spans="1:1" x14ac:dyDescent="0.25">
      <c r="A317">
        <v>97946048</v>
      </c>
    </row>
    <row r="318" spans="1:1" x14ac:dyDescent="0.25">
      <c r="A318" t="s">
        <v>314</v>
      </c>
    </row>
    <row r="319" spans="1:1" x14ac:dyDescent="0.25">
      <c r="A319">
        <v>10044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A5578-D847-4E70-8876-4D250B42900B}">
  <sheetPr codeName="Sheet8"/>
  <dimension ref="A1:C322"/>
  <sheetViews>
    <sheetView topLeftCell="A302" workbookViewId="0">
      <selection activeCell="B324" sqref="B324"/>
    </sheetView>
  </sheetViews>
  <sheetFormatPr defaultRowHeight="15" x14ac:dyDescent="0.25"/>
  <cols>
    <col min="1" max="1" width="94" bestFit="1" customWidth="1"/>
    <col min="2" max="2" width="62.7109375" customWidth="1"/>
    <col min="3" max="3" width="31.5703125" customWidth="1"/>
  </cols>
  <sheetData>
    <row r="1" spans="1:3" x14ac:dyDescent="0.25">
      <c r="A1" t="s">
        <v>46</v>
      </c>
      <c r="B1" t="s">
        <v>47</v>
      </c>
      <c r="C1" t="s">
        <v>48</v>
      </c>
    </row>
    <row r="2" spans="1:3" x14ac:dyDescent="0.25">
      <c r="A2" t="s">
        <v>49</v>
      </c>
      <c r="B2" t="s">
        <v>58</v>
      </c>
      <c r="C2" t="s">
        <v>59</v>
      </c>
    </row>
    <row r="3" spans="1:3" ht="365.25" customHeight="1" x14ac:dyDescent="0.25">
      <c r="A3" s="13" t="s">
        <v>421</v>
      </c>
      <c r="B3" s="13" t="s">
        <v>692</v>
      </c>
      <c r="C3" s="13" t="s">
        <v>693</v>
      </c>
    </row>
    <row r="4" spans="1:3" x14ac:dyDescent="0.25">
      <c r="A4" t="s">
        <v>0</v>
      </c>
      <c r="B4" t="s">
        <v>60</v>
      </c>
      <c r="C4" t="s">
        <v>61</v>
      </c>
    </row>
    <row r="5" spans="1:3" x14ac:dyDescent="0.25">
      <c r="A5" t="s">
        <v>424</v>
      </c>
      <c r="B5" t="s">
        <v>442</v>
      </c>
      <c r="C5" t="s">
        <v>443</v>
      </c>
    </row>
    <row r="6" spans="1:3" x14ac:dyDescent="0.25">
      <c r="A6" t="s">
        <v>128</v>
      </c>
      <c r="B6" t="s">
        <v>444</v>
      </c>
      <c r="C6" t="s">
        <v>445</v>
      </c>
    </row>
    <row r="7" spans="1:3" x14ac:dyDescent="0.25">
      <c r="A7" t="s">
        <v>129</v>
      </c>
      <c r="B7" t="s">
        <v>446</v>
      </c>
      <c r="C7" t="s">
        <v>447</v>
      </c>
    </row>
    <row r="8" spans="1:3" x14ac:dyDescent="0.25">
      <c r="A8" t="s">
        <v>130</v>
      </c>
      <c r="B8" t="s">
        <v>448</v>
      </c>
      <c r="C8" t="s">
        <v>449</v>
      </c>
    </row>
    <row r="9" spans="1:3" x14ac:dyDescent="0.25">
      <c r="A9" t="s">
        <v>414</v>
      </c>
      <c r="B9" t="s">
        <v>450</v>
      </c>
      <c r="C9" t="s">
        <v>451</v>
      </c>
    </row>
    <row r="10" spans="1:3" x14ac:dyDescent="0.25">
      <c r="A10" t="s">
        <v>15</v>
      </c>
      <c r="B10" t="s">
        <v>68</v>
      </c>
      <c r="C10" t="s">
        <v>69</v>
      </c>
    </row>
    <row r="11" spans="1:3" x14ac:dyDescent="0.25">
      <c r="A11" t="s">
        <v>150</v>
      </c>
      <c r="B11" t="s">
        <v>452</v>
      </c>
      <c r="C11" t="s">
        <v>453</v>
      </c>
    </row>
    <row r="12" spans="1:3" x14ac:dyDescent="0.25">
      <c r="A12" t="s">
        <v>131</v>
      </c>
      <c r="B12" t="s">
        <v>454</v>
      </c>
      <c r="C12" t="s">
        <v>455</v>
      </c>
    </row>
    <row r="13" spans="1:3" x14ac:dyDescent="0.25">
      <c r="A13" t="s">
        <v>22</v>
      </c>
      <c r="B13" t="s">
        <v>82</v>
      </c>
      <c r="C13" t="s">
        <v>83</v>
      </c>
    </row>
    <row r="14" spans="1:3" x14ac:dyDescent="0.25">
      <c r="A14" t="s">
        <v>147</v>
      </c>
      <c r="B14" t="s">
        <v>456</v>
      </c>
      <c r="C14" t="s">
        <v>457</v>
      </c>
    </row>
    <row r="15" spans="1:3" x14ac:dyDescent="0.25">
      <c r="A15" t="s">
        <v>16</v>
      </c>
      <c r="B15" t="s">
        <v>70</v>
      </c>
      <c r="C15" t="s">
        <v>71</v>
      </c>
    </row>
    <row r="16" spans="1:3" x14ac:dyDescent="0.25">
      <c r="A16" t="s">
        <v>132</v>
      </c>
      <c r="B16" t="s">
        <v>458</v>
      </c>
      <c r="C16" t="s">
        <v>459</v>
      </c>
    </row>
    <row r="17" spans="1:3" x14ac:dyDescent="0.25">
      <c r="A17" t="s">
        <v>156</v>
      </c>
      <c r="B17" t="s">
        <v>460</v>
      </c>
      <c r="C17" t="s">
        <v>461</v>
      </c>
    </row>
    <row r="18" spans="1:3" x14ac:dyDescent="0.25">
      <c r="A18" t="s">
        <v>21</v>
      </c>
      <c r="B18" t="s">
        <v>80</v>
      </c>
      <c r="C18" t="s">
        <v>81</v>
      </c>
    </row>
    <row r="19" spans="1:3" x14ac:dyDescent="0.25">
      <c r="A19" t="s">
        <v>17</v>
      </c>
      <c r="B19" t="s">
        <v>72</v>
      </c>
      <c r="C19" t="s">
        <v>73</v>
      </c>
    </row>
    <row r="20" spans="1:3" x14ac:dyDescent="0.25">
      <c r="A20" t="s">
        <v>154</v>
      </c>
      <c r="B20" t="s">
        <v>462</v>
      </c>
      <c r="C20" t="s">
        <v>463</v>
      </c>
    </row>
    <row r="21" spans="1:3" x14ac:dyDescent="0.25">
      <c r="A21" t="s">
        <v>20</v>
      </c>
      <c r="B21" t="s">
        <v>78</v>
      </c>
      <c r="C21" t="s">
        <v>79</v>
      </c>
    </row>
    <row r="22" spans="1:3" x14ac:dyDescent="0.25">
      <c r="A22" t="s">
        <v>148</v>
      </c>
      <c r="B22" t="s">
        <v>464</v>
      </c>
      <c r="C22" t="s">
        <v>465</v>
      </c>
    </row>
    <row r="23" spans="1:3" x14ac:dyDescent="0.25">
      <c r="A23" t="s">
        <v>151</v>
      </c>
      <c r="B23" t="s">
        <v>466</v>
      </c>
      <c r="C23" t="s">
        <v>467</v>
      </c>
    </row>
    <row r="24" spans="1:3" x14ac:dyDescent="0.25">
      <c r="A24" t="s">
        <v>155</v>
      </c>
      <c r="B24" t="s">
        <v>468</v>
      </c>
      <c r="C24" t="s">
        <v>469</v>
      </c>
    </row>
    <row r="25" spans="1:3" x14ac:dyDescent="0.25">
      <c r="A25" t="s">
        <v>149</v>
      </c>
      <c r="B25" t="s">
        <v>470</v>
      </c>
      <c r="C25" t="s">
        <v>471</v>
      </c>
    </row>
    <row r="26" spans="1:3" x14ac:dyDescent="0.25">
      <c r="A26" t="s">
        <v>152</v>
      </c>
      <c r="B26" t="s">
        <v>472</v>
      </c>
      <c r="C26" t="s">
        <v>473</v>
      </c>
    </row>
    <row r="27" spans="1:3" x14ac:dyDescent="0.25">
      <c r="A27" t="s">
        <v>133</v>
      </c>
      <c r="B27" t="s">
        <v>474</v>
      </c>
      <c r="C27" t="s">
        <v>475</v>
      </c>
    </row>
    <row r="28" spans="1:3" x14ac:dyDescent="0.25">
      <c r="A28" t="s">
        <v>157</v>
      </c>
      <c r="B28" t="s">
        <v>476</v>
      </c>
      <c r="C28" t="s">
        <v>477</v>
      </c>
    </row>
    <row r="29" spans="1:3" x14ac:dyDescent="0.25">
      <c r="A29" t="s">
        <v>153</v>
      </c>
      <c r="B29" t="s">
        <v>478</v>
      </c>
      <c r="C29" t="s">
        <v>479</v>
      </c>
    </row>
    <row r="30" spans="1:3" x14ac:dyDescent="0.25">
      <c r="A30" t="s">
        <v>18</v>
      </c>
      <c r="B30" t="s">
        <v>74</v>
      </c>
      <c r="C30" t="s">
        <v>75</v>
      </c>
    </row>
    <row r="31" spans="1:3" x14ac:dyDescent="0.25">
      <c r="A31" t="s">
        <v>19</v>
      </c>
      <c r="B31" t="s">
        <v>76</v>
      </c>
      <c r="C31" t="s">
        <v>77</v>
      </c>
    </row>
    <row r="32" spans="1:3" x14ac:dyDescent="0.25">
      <c r="A32">
        <v>0</v>
      </c>
      <c r="B32">
        <v>0</v>
      </c>
      <c r="C32">
        <v>0</v>
      </c>
    </row>
    <row r="33" spans="1:3" x14ac:dyDescent="0.25">
      <c r="A33" t="s">
        <v>134</v>
      </c>
      <c r="B33" t="s">
        <v>456</v>
      </c>
      <c r="C33" t="s">
        <v>457</v>
      </c>
    </row>
    <row r="34" spans="1:3" x14ac:dyDescent="0.25">
      <c r="A34" t="s">
        <v>135</v>
      </c>
      <c r="B34" t="s">
        <v>464</v>
      </c>
      <c r="C34" t="s">
        <v>465</v>
      </c>
    </row>
    <row r="35" spans="1:3" x14ac:dyDescent="0.25">
      <c r="A35" t="s">
        <v>136</v>
      </c>
      <c r="B35" t="s">
        <v>480</v>
      </c>
      <c r="C35" t="s">
        <v>471</v>
      </c>
    </row>
    <row r="36" spans="1:3" x14ac:dyDescent="0.25">
      <c r="A36" t="s">
        <v>137</v>
      </c>
      <c r="B36" t="s">
        <v>452</v>
      </c>
      <c r="C36" t="s">
        <v>453</v>
      </c>
    </row>
    <row r="37" spans="1:3" x14ac:dyDescent="0.25">
      <c r="A37" t="s">
        <v>141</v>
      </c>
      <c r="B37" t="s">
        <v>481</v>
      </c>
      <c r="C37" t="s">
        <v>482</v>
      </c>
    </row>
    <row r="38" spans="1:3" x14ac:dyDescent="0.25">
      <c r="A38" t="s">
        <v>139</v>
      </c>
      <c r="B38" t="s">
        <v>472</v>
      </c>
      <c r="C38" t="s">
        <v>473</v>
      </c>
    </row>
    <row r="39" spans="1:3" x14ac:dyDescent="0.25">
      <c r="A39" t="s">
        <v>140</v>
      </c>
      <c r="B39" t="s">
        <v>483</v>
      </c>
      <c r="C39" t="s">
        <v>479</v>
      </c>
    </row>
    <row r="40" spans="1:3" x14ac:dyDescent="0.25">
      <c r="A40" t="s">
        <v>142</v>
      </c>
      <c r="B40" t="s">
        <v>484</v>
      </c>
      <c r="C40" t="s">
        <v>455</v>
      </c>
    </row>
    <row r="41" spans="1:3" x14ac:dyDescent="0.25">
      <c r="A41" t="s">
        <v>143</v>
      </c>
      <c r="B41" t="s">
        <v>458</v>
      </c>
      <c r="C41" t="s">
        <v>459</v>
      </c>
    </row>
    <row r="42" spans="1:3" x14ac:dyDescent="0.25">
      <c r="A42" t="s">
        <v>144</v>
      </c>
      <c r="B42" t="s">
        <v>485</v>
      </c>
      <c r="C42" t="s">
        <v>463</v>
      </c>
    </row>
    <row r="43" spans="1:3" x14ac:dyDescent="0.25">
      <c r="A43" t="s">
        <v>145</v>
      </c>
      <c r="B43" t="s">
        <v>486</v>
      </c>
      <c r="C43" t="s">
        <v>469</v>
      </c>
    </row>
    <row r="44" spans="1:3" x14ac:dyDescent="0.25">
      <c r="A44" t="s">
        <v>146</v>
      </c>
      <c r="B44" t="s">
        <v>487</v>
      </c>
      <c r="C44" t="s">
        <v>475</v>
      </c>
    </row>
    <row r="45" spans="1:3" x14ac:dyDescent="0.25">
      <c r="A45" t="s">
        <v>138</v>
      </c>
      <c r="B45" t="s">
        <v>460</v>
      </c>
      <c r="C45" t="s">
        <v>461</v>
      </c>
    </row>
    <row r="46" spans="1:3" x14ac:dyDescent="0.25">
      <c r="A46" t="s">
        <v>1</v>
      </c>
      <c r="B46" t="s">
        <v>62</v>
      </c>
      <c r="C46" t="s">
        <v>63</v>
      </c>
    </row>
    <row r="47" spans="1:3" x14ac:dyDescent="0.25">
      <c r="A47" t="s">
        <v>39</v>
      </c>
      <c r="B47" t="s">
        <v>39</v>
      </c>
      <c r="C47" t="s">
        <v>84</v>
      </c>
    </row>
    <row r="48" spans="1:3" x14ac:dyDescent="0.25">
      <c r="A48" t="s">
        <v>51</v>
      </c>
      <c r="B48" t="s">
        <v>87</v>
      </c>
      <c r="C48" t="s">
        <v>88</v>
      </c>
    </row>
    <row r="49" spans="1:3" x14ac:dyDescent="0.25">
      <c r="A49" t="s">
        <v>42</v>
      </c>
      <c r="B49" t="s">
        <v>85</v>
      </c>
      <c r="C49" t="s">
        <v>86</v>
      </c>
    </row>
    <row r="50" spans="1:3" x14ac:dyDescent="0.25">
      <c r="A50" t="s">
        <v>52</v>
      </c>
      <c r="B50" t="s">
        <v>89</v>
      </c>
      <c r="C50" t="s">
        <v>90</v>
      </c>
    </row>
    <row r="51" spans="1:3" x14ac:dyDescent="0.25">
      <c r="A51" t="s">
        <v>422</v>
      </c>
      <c r="B51" t="s">
        <v>488</v>
      </c>
      <c r="C51" t="s">
        <v>489</v>
      </c>
    </row>
    <row r="52" spans="1:3" x14ac:dyDescent="0.25">
      <c r="A52" t="s">
        <v>53</v>
      </c>
      <c r="B52" t="s">
        <v>91</v>
      </c>
      <c r="C52" t="s">
        <v>92</v>
      </c>
    </row>
    <row r="53" spans="1:3" x14ac:dyDescent="0.25">
      <c r="A53" t="s">
        <v>54</v>
      </c>
      <c r="B53" t="s">
        <v>93</v>
      </c>
      <c r="C53" t="s">
        <v>94</v>
      </c>
    </row>
    <row r="54" spans="1:3" x14ac:dyDescent="0.25">
      <c r="A54" t="s">
        <v>55</v>
      </c>
      <c r="B54" t="s">
        <v>95</v>
      </c>
      <c r="C54" t="s">
        <v>96</v>
      </c>
    </row>
    <row r="55" spans="1:3" x14ac:dyDescent="0.25">
      <c r="A55">
        <v>58</v>
      </c>
      <c r="B55">
        <v>58</v>
      </c>
      <c r="C55">
        <v>58</v>
      </c>
    </row>
    <row r="56" spans="1:3" x14ac:dyDescent="0.25">
      <c r="A56" t="s">
        <v>2</v>
      </c>
      <c r="B56" t="s">
        <v>64</v>
      </c>
      <c r="C56" t="s">
        <v>65</v>
      </c>
    </row>
    <row r="57" spans="1:3" x14ac:dyDescent="0.25">
      <c r="A57" t="s">
        <v>57</v>
      </c>
      <c r="B57" t="s">
        <v>99</v>
      </c>
      <c r="C57" t="s">
        <v>100</v>
      </c>
    </row>
    <row r="58" spans="1:3" x14ac:dyDescent="0.25">
      <c r="A58" t="s">
        <v>50</v>
      </c>
      <c r="B58" t="s">
        <v>66</v>
      </c>
      <c r="C58" t="s">
        <v>67</v>
      </c>
    </row>
    <row r="59" spans="1:3" x14ac:dyDescent="0.25">
      <c r="A59" t="s">
        <v>164</v>
      </c>
      <c r="B59" t="s">
        <v>458</v>
      </c>
      <c r="C59" t="s">
        <v>459</v>
      </c>
    </row>
    <row r="60" spans="1:3" x14ac:dyDescent="0.25">
      <c r="A60" t="s">
        <v>3</v>
      </c>
      <c r="B60" t="s">
        <v>101</v>
      </c>
      <c r="C60" t="s">
        <v>102</v>
      </c>
    </row>
    <row r="61" spans="1:3" x14ac:dyDescent="0.25">
      <c r="A61" t="s">
        <v>415</v>
      </c>
      <c r="B61" t="s">
        <v>490</v>
      </c>
      <c r="C61" t="s">
        <v>491</v>
      </c>
    </row>
    <row r="62" spans="1:3" x14ac:dyDescent="0.25">
      <c r="A62" t="s">
        <v>38</v>
      </c>
      <c r="B62" t="s">
        <v>38</v>
      </c>
      <c r="C62" t="s">
        <v>492</v>
      </c>
    </row>
    <row r="63" spans="1:3" x14ac:dyDescent="0.25">
      <c r="A63" t="s">
        <v>4</v>
      </c>
      <c r="B63" t="s">
        <v>103</v>
      </c>
      <c r="C63" t="s">
        <v>104</v>
      </c>
    </row>
    <row r="64" spans="1:3" x14ac:dyDescent="0.25">
      <c r="A64" t="s">
        <v>416</v>
      </c>
      <c r="B64" t="s">
        <v>493</v>
      </c>
      <c r="C64" t="s">
        <v>494</v>
      </c>
    </row>
    <row r="65" spans="1:3" x14ac:dyDescent="0.25">
      <c r="A65" t="s">
        <v>165</v>
      </c>
      <c r="B65" t="s">
        <v>495</v>
      </c>
      <c r="C65" t="s">
        <v>496</v>
      </c>
    </row>
    <row r="66" spans="1:3" x14ac:dyDescent="0.25">
      <c r="A66" t="s">
        <v>5</v>
      </c>
      <c r="B66" t="s">
        <v>105</v>
      </c>
      <c r="C66" t="s">
        <v>106</v>
      </c>
    </row>
    <row r="67" spans="1:3" x14ac:dyDescent="0.25">
      <c r="A67" t="s">
        <v>23</v>
      </c>
      <c r="B67" t="s">
        <v>493</v>
      </c>
      <c r="C67" t="s">
        <v>497</v>
      </c>
    </row>
    <row r="68" spans="1:3" x14ac:dyDescent="0.25">
      <c r="A68" t="s">
        <v>166</v>
      </c>
      <c r="B68" t="s">
        <v>498</v>
      </c>
      <c r="C68" t="s">
        <v>499</v>
      </c>
    </row>
    <row r="69" spans="1:3" x14ac:dyDescent="0.25">
      <c r="A69" t="s">
        <v>6</v>
      </c>
      <c r="B69" t="s">
        <v>107</v>
      </c>
      <c r="C69" t="s">
        <v>108</v>
      </c>
    </row>
    <row r="70" spans="1:3" x14ac:dyDescent="0.25">
      <c r="A70" t="s">
        <v>417</v>
      </c>
      <c r="B70" t="s">
        <v>500</v>
      </c>
      <c r="C70" t="s">
        <v>501</v>
      </c>
    </row>
    <row r="71" spans="1:3" x14ac:dyDescent="0.25">
      <c r="A71" t="s">
        <v>167</v>
      </c>
      <c r="B71" t="s">
        <v>502</v>
      </c>
      <c r="C71" t="s">
        <v>503</v>
      </c>
    </row>
    <row r="72" spans="1:3" x14ac:dyDescent="0.25">
      <c r="A72" t="s">
        <v>7</v>
      </c>
      <c r="B72" t="s">
        <v>109</v>
      </c>
      <c r="C72" t="s">
        <v>110</v>
      </c>
    </row>
    <row r="73" spans="1:3" x14ac:dyDescent="0.25">
      <c r="A73" t="s">
        <v>289</v>
      </c>
      <c r="B73" t="s">
        <v>504</v>
      </c>
      <c r="C73" t="s">
        <v>505</v>
      </c>
    </row>
    <row r="74" spans="1:3" x14ac:dyDescent="0.25">
      <c r="A74" t="s">
        <v>25</v>
      </c>
      <c r="B74" t="s">
        <v>506</v>
      </c>
      <c r="C74" t="s">
        <v>507</v>
      </c>
    </row>
    <row r="75" spans="1:3" x14ac:dyDescent="0.25">
      <c r="A75" t="s">
        <v>8</v>
      </c>
      <c r="B75" t="s">
        <v>111</v>
      </c>
      <c r="C75" t="s">
        <v>112</v>
      </c>
    </row>
    <row r="76" spans="1:3" x14ac:dyDescent="0.25">
      <c r="A76" t="s">
        <v>418</v>
      </c>
      <c r="B76" t="s">
        <v>508</v>
      </c>
      <c r="C76" t="s">
        <v>509</v>
      </c>
    </row>
    <row r="77" spans="1:3" x14ac:dyDescent="0.25">
      <c r="A77" t="s">
        <v>168</v>
      </c>
      <c r="B77" t="s">
        <v>510</v>
      </c>
      <c r="C77" t="s">
        <v>505</v>
      </c>
    </row>
    <row r="78" spans="1:3" x14ac:dyDescent="0.25">
      <c r="A78" t="s">
        <v>9</v>
      </c>
      <c r="B78" t="s">
        <v>113</v>
      </c>
      <c r="C78" t="s">
        <v>114</v>
      </c>
    </row>
    <row r="79" spans="1:3" x14ac:dyDescent="0.25">
      <c r="A79" t="s">
        <v>11</v>
      </c>
      <c r="B79" t="s">
        <v>115</v>
      </c>
      <c r="C79" t="s">
        <v>116</v>
      </c>
    </row>
    <row r="80" spans="1:3" x14ac:dyDescent="0.25">
      <c r="A80" t="s">
        <v>12</v>
      </c>
      <c r="B80" t="s">
        <v>117</v>
      </c>
      <c r="C80" t="s">
        <v>118</v>
      </c>
    </row>
    <row r="81" spans="1:3" x14ac:dyDescent="0.25">
      <c r="A81" t="s">
        <v>13</v>
      </c>
      <c r="B81" t="s">
        <v>119</v>
      </c>
      <c r="C81" t="s">
        <v>120</v>
      </c>
    </row>
    <row r="82" spans="1:3" x14ac:dyDescent="0.25">
      <c r="A82" t="s">
        <v>14</v>
      </c>
      <c r="B82" t="s">
        <v>121</v>
      </c>
      <c r="C82" t="s">
        <v>122</v>
      </c>
    </row>
    <row r="83" spans="1:3" x14ac:dyDescent="0.25">
      <c r="A83" t="s">
        <v>41</v>
      </c>
      <c r="B83" t="s">
        <v>41</v>
      </c>
      <c r="C83" t="s">
        <v>41</v>
      </c>
    </row>
    <row r="84" spans="1:3" x14ac:dyDescent="0.25">
      <c r="A84" t="s">
        <v>56</v>
      </c>
      <c r="B84" t="s">
        <v>97</v>
      </c>
      <c r="C84" t="s">
        <v>98</v>
      </c>
    </row>
    <row r="85" spans="1:3" x14ac:dyDescent="0.25">
      <c r="A85">
        <v>1</v>
      </c>
      <c r="B85">
        <v>1</v>
      </c>
      <c r="C85">
        <v>1</v>
      </c>
    </row>
    <row r="86" spans="1:3" x14ac:dyDescent="0.25">
      <c r="A86" t="s">
        <v>36</v>
      </c>
      <c r="B86" t="s">
        <v>511</v>
      </c>
      <c r="C86" t="s">
        <v>512</v>
      </c>
    </row>
    <row r="87" spans="1:3" x14ac:dyDescent="0.25">
      <c r="A87" t="s">
        <v>158</v>
      </c>
      <c r="B87" t="s">
        <v>513</v>
      </c>
      <c r="C87" t="s">
        <v>514</v>
      </c>
    </row>
    <row r="88" spans="1:3" x14ac:dyDescent="0.25">
      <c r="A88" t="s">
        <v>159</v>
      </c>
      <c r="B88" t="s">
        <v>159</v>
      </c>
      <c r="C88" t="s">
        <v>159</v>
      </c>
    </row>
    <row r="89" spans="1:3" x14ac:dyDescent="0.25">
      <c r="A89" t="s">
        <v>288</v>
      </c>
      <c r="B89" t="s">
        <v>515</v>
      </c>
      <c r="C89" t="s">
        <v>516</v>
      </c>
    </row>
    <row r="90" spans="1:3" x14ac:dyDescent="0.25">
      <c r="A90">
        <v>233594056041</v>
      </c>
      <c r="B90">
        <v>233594056041</v>
      </c>
      <c r="C90">
        <v>233594056041</v>
      </c>
    </row>
    <row r="91" spans="1:3" x14ac:dyDescent="0.25">
      <c r="A91" t="s">
        <v>37</v>
      </c>
      <c r="B91" t="s">
        <v>37</v>
      </c>
      <c r="C91" t="s">
        <v>37</v>
      </c>
    </row>
    <row r="92" spans="1:3" x14ac:dyDescent="0.25">
      <c r="A92" t="s">
        <v>301</v>
      </c>
      <c r="B92" t="s">
        <v>301</v>
      </c>
      <c r="C92" t="s">
        <v>517</v>
      </c>
    </row>
    <row r="93" spans="1:3" x14ac:dyDescent="0.25">
      <c r="A93" s="1">
        <v>45690</v>
      </c>
      <c r="B93" s="1">
        <v>45690</v>
      </c>
      <c r="C93" s="1">
        <v>45690</v>
      </c>
    </row>
    <row r="94" spans="1:3" x14ac:dyDescent="0.25">
      <c r="A94">
        <v>5</v>
      </c>
      <c r="B94">
        <v>5</v>
      </c>
      <c r="C94">
        <v>5</v>
      </c>
    </row>
    <row r="95" spans="1:3" x14ac:dyDescent="0.25">
      <c r="A95" t="s">
        <v>369</v>
      </c>
      <c r="B95" t="s">
        <v>369</v>
      </c>
      <c r="C95" t="s">
        <v>369</v>
      </c>
    </row>
    <row r="96" spans="1:3" x14ac:dyDescent="0.25">
      <c r="A96">
        <v>232323</v>
      </c>
      <c r="B96">
        <v>232323</v>
      </c>
      <c r="C96">
        <v>232323</v>
      </c>
    </row>
    <row r="97" spans="1:3" x14ac:dyDescent="0.25">
      <c r="A97" t="s">
        <v>169</v>
      </c>
      <c r="B97" t="s">
        <v>169</v>
      </c>
      <c r="C97" t="s">
        <v>518</v>
      </c>
    </row>
    <row r="98" spans="1:3" x14ac:dyDescent="0.25">
      <c r="A98" t="s">
        <v>170</v>
      </c>
      <c r="B98" t="s">
        <v>519</v>
      </c>
      <c r="C98" t="s">
        <v>520</v>
      </c>
    </row>
    <row r="99" spans="1:3" x14ac:dyDescent="0.25">
      <c r="A99" t="s">
        <v>410</v>
      </c>
      <c r="B99" t="s">
        <v>521</v>
      </c>
      <c r="C99" t="s">
        <v>522</v>
      </c>
    </row>
    <row r="100" spans="1:3" x14ac:dyDescent="0.25">
      <c r="A100" t="s">
        <v>28</v>
      </c>
      <c r="B100" t="s">
        <v>292</v>
      </c>
      <c r="C100" t="s">
        <v>523</v>
      </c>
    </row>
    <row r="101" spans="1:3" x14ac:dyDescent="0.25">
      <c r="A101" t="s">
        <v>295</v>
      </c>
      <c r="B101" t="s">
        <v>295</v>
      </c>
      <c r="C101" t="s">
        <v>295</v>
      </c>
    </row>
    <row r="102" spans="1:3" x14ac:dyDescent="0.25">
      <c r="A102" t="s">
        <v>296</v>
      </c>
      <c r="B102" t="s">
        <v>524</v>
      </c>
      <c r="C102" t="s">
        <v>525</v>
      </c>
    </row>
    <row r="103" spans="1:3" x14ac:dyDescent="0.25">
      <c r="A103" t="s">
        <v>304</v>
      </c>
      <c r="B103" t="s">
        <v>304</v>
      </c>
      <c r="C103" t="s">
        <v>526</v>
      </c>
    </row>
    <row r="104" spans="1:3" x14ac:dyDescent="0.25">
      <c r="A104" t="s">
        <v>322</v>
      </c>
      <c r="B104" t="s">
        <v>322</v>
      </c>
      <c r="C104" t="s">
        <v>322</v>
      </c>
    </row>
    <row r="105" spans="1:3" x14ac:dyDescent="0.25">
      <c r="A105" t="s">
        <v>45</v>
      </c>
      <c r="B105" t="s">
        <v>527</v>
      </c>
      <c r="C105" t="s">
        <v>528</v>
      </c>
    </row>
    <row r="106" spans="1:3" x14ac:dyDescent="0.25">
      <c r="A106">
        <v>41815</v>
      </c>
      <c r="B106">
        <v>41815</v>
      </c>
      <c r="C106">
        <v>41815</v>
      </c>
    </row>
    <row r="107" spans="1:3" x14ac:dyDescent="0.25">
      <c r="A107" t="s">
        <v>358</v>
      </c>
      <c r="B107" t="s">
        <v>529</v>
      </c>
      <c r="C107" t="s">
        <v>530</v>
      </c>
    </row>
    <row r="108" spans="1:3" x14ac:dyDescent="0.25">
      <c r="A108" t="s">
        <v>359</v>
      </c>
      <c r="B108" t="s">
        <v>531</v>
      </c>
      <c r="C108" t="s">
        <v>532</v>
      </c>
    </row>
    <row r="109" spans="1:3" x14ac:dyDescent="0.25">
      <c r="A109" t="s">
        <v>360</v>
      </c>
      <c r="B109" t="s">
        <v>360</v>
      </c>
      <c r="C109" t="s">
        <v>533</v>
      </c>
    </row>
    <row r="110" spans="1:3" x14ac:dyDescent="0.25">
      <c r="A110" t="s">
        <v>361</v>
      </c>
      <c r="B110" t="s">
        <v>361</v>
      </c>
      <c r="C110" t="s">
        <v>361</v>
      </c>
    </row>
    <row r="111" spans="1:3" x14ac:dyDescent="0.25">
      <c r="A111">
        <v>2245</v>
      </c>
      <c r="B111">
        <v>2245</v>
      </c>
      <c r="C111">
        <v>2245</v>
      </c>
    </row>
    <row r="112" spans="1:3" x14ac:dyDescent="0.25">
      <c r="A112" t="s">
        <v>174</v>
      </c>
      <c r="B112" t="s">
        <v>534</v>
      </c>
      <c r="C112" t="s">
        <v>535</v>
      </c>
    </row>
    <row r="113" spans="1:3" x14ac:dyDescent="0.25">
      <c r="A113" t="s">
        <v>175</v>
      </c>
      <c r="B113" t="s">
        <v>536</v>
      </c>
      <c r="C113" t="s">
        <v>537</v>
      </c>
    </row>
    <row r="114" spans="1:3" x14ac:dyDescent="0.25">
      <c r="A114" t="s">
        <v>299</v>
      </c>
      <c r="B114" t="s">
        <v>299</v>
      </c>
      <c r="C114" t="s">
        <v>299</v>
      </c>
    </row>
    <row r="115" spans="1:3" x14ac:dyDescent="0.25">
      <c r="A115" t="s">
        <v>300</v>
      </c>
      <c r="B115" t="s">
        <v>538</v>
      </c>
      <c r="C115" t="s">
        <v>539</v>
      </c>
    </row>
    <row r="116" spans="1:3" x14ac:dyDescent="0.25">
      <c r="A116">
        <v>221478</v>
      </c>
      <c r="B116">
        <v>221478</v>
      </c>
      <c r="C116">
        <v>221478</v>
      </c>
    </row>
    <row r="117" spans="1:3" x14ac:dyDescent="0.25">
      <c r="A117" t="s">
        <v>354</v>
      </c>
      <c r="B117" t="s">
        <v>540</v>
      </c>
      <c r="C117" t="s">
        <v>541</v>
      </c>
    </row>
    <row r="118" spans="1:3" x14ac:dyDescent="0.25">
      <c r="A118">
        <v>42111</v>
      </c>
      <c r="B118">
        <v>42111</v>
      </c>
      <c r="C118">
        <v>42111</v>
      </c>
    </row>
    <row r="119" spans="1:3" x14ac:dyDescent="0.25">
      <c r="A119" t="s">
        <v>364</v>
      </c>
      <c r="B119" t="s">
        <v>542</v>
      </c>
      <c r="C119" t="s">
        <v>543</v>
      </c>
    </row>
    <row r="120" spans="1:3" x14ac:dyDescent="0.25">
      <c r="A120" t="s">
        <v>365</v>
      </c>
      <c r="B120" t="s">
        <v>531</v>
      </c>
      <c r="C120" t="s">
        <v>532</v>
      </c>
    </row>
    <row r="121" spans="1:3" x14ac:dyDescent="0.25">
      <c r="A121" t="s">
        <v>366</v>
      </c>
      <c r="B121" t="s">
        <v>544</v>
      </c>
      <c r="C121" t="s">
        <v>545</v>
      </c>
    </row>
    <row r="122" spans="1:3" x14ac:dyDescent="0.25">
      <c r="A122">
        <v>37319</v>
      </c>
      <c r="B122">
        <v>37319</v>
      </c>
      <c r="C122">
        <v>37319</v>
      </c>
    </row>
    <row r="123" spans="1:3" x14ac:dyDescent="0.25">
      <c r="A123">
        <v>3</v>
      </c>
      <c r="B123">
        <v>3</v>
      </c>
      <c r="C123">
        <v>3</v>
      </c>
    </row>
    <row r="124" spans="1:3" x14ac:dyDescent="0.25">
      <c r="A124" t="s">
        <v>182</v>
      </c>
      <c r="B124" t="s">
        <v>182</v>
      </c>
      <c r="C124" t="s">
        <v>546</v>
      </c>
    </row>
    <row r="125" spans="1:3" x14ac:dyDescent="0.25">
      <c r="A125" t="s">
        <v>183</v>
      </c>
      <c r="B125" t="s">
        <v>547</v>
      </c>
      <c r="C125" t="s">
        <v>548</v>
      </c>
    </row>
    <row r="126" spans="1:3" x14ac:dyDescent="0.25">
      <c r="A126" t="s">
        <v>184</v>
      </c>
      <c r="B126" t="s">
        <v>184</v>
      </c>
      <c r="C126" t="s">
        <v>549</v>
      </c>
    </row>
    <row r="127" spans="1:3" x14ac:dyDescent="0.25">
      <c r="A127" t="s">
        <v>26</v>
      </c>
      <c r="B127" t="s">
        <v>550</v>
      </c>
      <c r="C127" t="s">
        <v>551</v>
      </c>
    </row>
    <row r="128" spans="1:3" x14ac:dyDescent="0.25">
      <c r="A128">
        <v>1222717884</v>
      </c>
      <c r="B128">
        <v>1222717884</v>
      </c>
      <c r="C128">
        <v>1222717884</v>
      </c>
    </row>
    <row r="129" spans="1:3" x14ac:dyDescent="0.25">
      <c r="A129" t="s">
        <v>305</v>
      </c>
      <c r="B129" t="s">
        <v>305</v>
      </c>
      <c r="C129" t="s">
        <v>305</v>
      </c>
    </row>
    <row r="130" spans="1:3" x14ac:dyDescent="0.25">
      <c r="A130" t="s">
        <v>306</v>
      </c>
      <c r="B130" t="s">
        <v>552</v>
      </c>
      <c r="C130" t="s">
        <v>553</v>
      </c>
    </row>
    <row r="131" spans="1:3" x14ac:dyDescent="0.25">
      <c r="A131" t="s">
        <v>307</v>
      </c>
      <c r="B131" t="s">
        <v>554</v>
      </c>
      <c r="C131" t="s">
        <v>555</v>
      </c>
    </row>
    <row r="132" spans="1:3" x14ac:dyDescent="0.25">
      <c r="A132">
        <v>50413106</v>
      </c>
      <c r="B132">
        <v>50413106</v>
      </c>
      <c r="C132">
        <v>50413106</v>
      </c>
    </row>
    <row r="133" spans="1:3" x14ac:dyDescent="0.25">
      <c r="A133" t="s">
        <v>425</v>
      </c>
      <c r="B133" t="s">
        <v>425</v>
      </c>
      <c r="C133" t="s">
        <v>556</v>
      </c>
    </row>
    <row r="134" spans="1:3" x14ac:dyDescent="0.25">
      <c r="A134" s="1">
        <v>37530</v>
      </c>
      <c r="B134" s="1">
        <v>37530</v>
      </c>
      <c r="C134" s="1">
        <v>37530</v>
      </c>
    </row>
    <row r="135" spans="1:3" x14ac:dyDescent="0.25">
      <c r="A135" t="s">
        <v>367</v>
      </c>
      <c r="B135" t="s">
        <v>367</v>
      </c>
      <c r="C135" t="s">
        <v>557</v>
      </c>
    </row>
    <row r="136" spans="1:3" x14ac:dyDescent="0.25">
      <c r="A136" t="s">
        <v>371</v>
      </c>
      <c r="B136" t="s">
        <v>558</v>
      </c>
      <c r="C136" t="s">
        <v>559</v>
      </c>
    </row>
    <row r="137" spans="1:3" x14ac:dyDescent="0.25">
      <c r="A137">
        <v>27</v>
      </c>
      <c r="B137">
        <v>27</v>
      </c>
      <c r="C137">
        <v>27</v>
      </c>
    </row>
    <row r="138" spans="1:3" x14ac:dyDescent="0.25">
      <c r="A138" t="s">
        <v>372</v>
      </c>
      <c r="B138" t="s">
        <v>560</v>
      </c>
      <c r="C138" t="s">
        <v>561</v>
      </c>
    </row>
    <row r="139" spans="1:3" x14ac:dyDescent="0.25">
      <c r="A139" t="s">
        <v>188</v>
      </c>
      <c r="B139" t="s">
        <v>188</v>
      </c>
      <c r="C139" t="s">
        <v>562</v>
      </c>
    </row>
    <row r="140" spans="1:3" x14ac:dyDescent="0.25">
      <c r="A140" t="s">
        <v>189</v>
      </c>
      <c r="B140" t="s">
        <v>189</v>
      </c>
      <c r="C140" t="s">
        <v>563</v>
      </c>
    </row>
    <row r="141" spans="1:3" x14ac:dyDescent="0.25">
      <c r="A141" t="s">
        <v>190</v>
      </c>
      <c r="B141" t="s">
        <v>190</v>
      </c>
      <c r="C141" t="s">
        <v>564</v>
      </c>
    </row>
    <row r="142" spans="1:3" x14ac:dyDescent="0.25">
      <c r="A142" t="s">
        <v>24</v>
      </c>
      <c r="B142" t="s">
        <v>24</v>
      </c>
      <c r="C142" t="s">
        <v>565</v>
      </c>
    </row>
    <row r="143" spans="1:3" x14ac:dyDescent="0.25">
      <c r="A143">
        <v>1001833810</v>
      </c>
      <c r="B143">
        <v>1001833810</v>
      </c>
      <c r="C143">
        <v>1001833810</v>
      </c>
    </row>
    <row r="144" spans="1:3" x14ac:dyDescent="0.25">
      <c r="A144" t="s">
        <v>311</v>
      </c>
      <c r="B144" t="s">
        <v>311</v>
      </c>
      <c r="C144" t="s">
        <v>311</v>
      </c>
    </row>
    <row r="145" spans="1:3" x14ac:dyDescent="0.25">
      <c r="A145" t="s">
        <v>312</v>
      </c>
      <c r="B145" t="s">
        <v>566</v>
      </c>
      <c r="C145" t="s">
        <v>567</v>
      </c>
    </row>
    <row r="146" spans="1:3" x14ac:dyDescent="0.25">
      <c r="A146" t="s">
        <v>313</v>
      </c>
      <c r="B146" t="s">
        <v>313</v>
      </c>
      <c r="C146" t="s">
        <v>568</v>
      </c>
    </row>
    <row r="147" spans="1:3" x14ac:dyDescent="0.25">
      <c r="A147">
        <v>51532802</v>
      </c>
      <c r="B147">
        <v>51532802</v>
      </c>
      <c r="C147">
        <v>51532802</v>
      </c>
    </row>
    <row r="148" spans="1:3" x14ac:dyDescent="0.25">
      <c r="A148" t="s">
        <v>373</v>
      </c>
      <c r="B148" t="s">
        <v>569</v>
      </c>
      <c r="C148" t="s">
        <v>570</v>
      </c>
    </row>
    <row r="149" spans="1:3" x14ac:dyDescent="0.25">
      <c r="A149">
        <v>7</v>
      </c>
      <c r="B149">
        <v>7</v>
      </c>
      <c r="C149">
        <v>7</v>
      </c>
    </row>
    <row r="150" spans="1:3" x14ac:dyDescent="0.25">
      <c r="A150" t="s">
        <v>194</v>
      </c>
      <c r="B150" t="s">
        <v>194</v>
      </c>
      <c r="C150" t="s">
        <v>571</v>
      </c>
    </row>
    <row r="151" spans="1:3" x14ac:dyDescent="0.25">
      <c r="A151" t="s">
        <v>195</v>
      </c>
      <c r="B151" t="s">
        <v>195</v>
      </c>
      <c r="C151" t="s">
        <v>572</v>
      </c>
    </row>
    <row r="152" spans="1:3" x14ac:dyDescent="0.25">
      <c r="A152" t="s">
        <v>196</v>
      </c>
      <c r="B152" t="s">
        <v>573</v>
      </c>
      <c r="C152" t="s">
        <v>574</v>
      </c>
    </row>
    <row r="153" spans="1:3" x14ac:dyDescent="0.25">
      <c r="A153">
        <v>1002224649</v>
      </c>
      <c r="B153">
        <v>1002224649</v>
      </c>
      <c r="C153">
        <v>1002224649</v>
      </c>
    </row>
    <row r="154" spans="1:3" x14ac:dyDescent="0.25">
      <c r="A154" t="s">
        <v>317</v>
      </c>
      <c r="B154" t="s">
        <v>317</v>
      </c>
      <c r="C154" t="s">
        <v>317</v>
      </c>
    </row>
    <row r="155" spans="1:3" x14ac:dyDescent="0.25">
      <c r="A155" t="s">
        <v>318</v>
      </c>
      <c r="B155" t="s">
        <v>575</v>
      </c>
      <c r="C155" t="s">
        <v>576</v>
      </c>
    </row>
    <row r="156" spans="1:3" x14ac:dyDescent="0.25">
      <c r="A156" t="s">
        <v>319</v>
      </c>
      <c r="B156" t="s">
        <v>319</v>
      </c>
      <c r="C156" t="s">
        <v>577</v>
      </c>
    </row>
    <row r="157" spans="1:3" x14ac:dyDescent="0.25">
      <c r="A157">
        <v>51780601</v>
      </c>
      <c r="B157">
        <v>51780601</v>
      </c>
      <c r="C157">
        <v>51780601</v>
      </c>
    </row>
    <row r="158" spans="1:3" x14ac:dyDescent="0.25">
      <c r="A158" t="s">
        <v>368</v>
      </c>
      <c r="B158" t="s">
        <v>578</v>
      </c>
      <c r="C158" t="s">
        <v>579</v>
      </c>
    </row>
    <row r="159" spans="1:3" x14ac:dyDescent="0.25">
      <c r="A159" t="s">
        <v>376</v>
      </c>
      <c r="B159" t="s">
        <v>554</v>
      </c>
      <c r="C159" t="s">
        <v>580</v>
      </c>
    </row>
    <row r="160" spans="1:3" x14ac:dyDescent="0.25">
      <c r="A160">
        <v>13</v>
      </c>
      <c r="B160">
        <v>13</v>
      </c>
      <c r="C160">
        <v>13</v>
      </c>
    </row>
    <row r="161" spans="1:3" x14ac:dyDescent="0.25">
      <c r="A161" t="s">
        <v>426</v>
      </c>
      <c r="B161" t="s">
        <v>426</v>
      </c>
      <c r="C161" t="s">
        <v>581</v>
      </c>
    </row>
    <row r="162" spans="1:3" x14ac:dyDescent="0.25">
      <c r="A162" t="s">
        <v>200</v>
      </c>
      <c r="B162" t="s">
        <v>582</v>
      </c>
      <c r="C162" t="s">
        <v>583</v>
      </c>
    </row>
    <row r="163" spans="1:3" x14ac:dyDescent="0.25">
      <c r="A163" t="s">
        <v>201</v>
      </c>
      <c r="B163" t="s">
        <v>201</v>
      </c>
      <c r="C163" t="s">
        <v>584</v>
      </c>
    </row>
    <row r="164" spans="1:3" x14ac:dyDescent="0.25">
      <c r="A164" t="s">
        <v>291</v>
      </c>
      <c r="B164" t="s">
        <v>291</v>
      </c>
      <c r="C164" t="s">
        <v>516</v>
      </c>
    </row>
    <row r="165" spans="1:3" x14ac:dyDescent="0.25">
      <c r="A165" t="s">
        <v>32</v>
      </c>
      <c r="B165" t="s">
        <v>32</v>
      </c>
      <c r="C165" t="s">
        <v>585</v>
      </c>
    </row>
    <row r="166" spans="1:3" x14ac:dyDescent="0.25">
      <c r="A166">
        <v>96384993</v>
      </c>
      <c r="B166">
        <v>96384993</v>
      </c>
      <c r="C166">
        <v>96384993</v>
      </c>
    </row>
    <row r="167" spans="1:3" x14ac:dyDescent="0.25">
      <c r="A167" t="s">
        <v>321</v>
      </c>
      <c r="B167" t="s">
        <v>321</v>
      </c>
      <c r="C167" t="s">
        <v>586</v>
      </c>
    </row>
    <row r="168" spans="1:3" x14ac:dyDescent="0.25">
      <c r="A168" t="s">
        <v>316</v>
      </c>
      <c r="B168" t="s">
        <v>316</v>
      </c>
      <c r="C168" t="s">
        <v>587</v>
      </c>
    </row>
    <row r="169" spans="1:3" x14ac:dyDescent="0.25">
      <c r="A169" t="s">
        <v>324</v>
      </c>
      <c r="B169" t="s">
        <v>324</v>
      </c>
      <c r="C169" t="s">
        <v>588</v>
      </c>
    </row>
    <row r="170" spans="1:3" x14ac:dyDescent="0.25">
      <c r="A170" t="s">
        <v>356</v>
      </c>
      <c r="B170" t="s">
        <v>356</v>
      </c>
      <c r="C170" t="s">
        <v>589</v>
      </c>
    </row>
    <row r="171" spans="1:3" x14ac:dyDescent="0.25">
      <c r="A171" t="s">
        <v>30</v>
      </c>
      <c r="B171" t="s">
        <v>30</v>
      </c>
      <c r="C171" t="s">
        <v>590</v>
      </c>
    </row>
    <row r="172" spans="1:3" x14ac:dyDescent="0.25">
      <c r="A172" t="s">
        <v>379</v>
      </c>
      <c r="B172" t="s">
        <v>379</v>
      </c>
      <c r="C172" t="s">
        <v>379</v>
      </c>
    </row>
    <row r="173" spans="1:3" x14ac:dyDescent="0.25">
      <c r="A173">
        <v>2</v>
      </c>
      <c r="B173">
        <v>2</v>
      </c>
      <c r="C173">
        <v>2</v>
      </c>
    </row>
    <row r="174" spans="1:3" x14ac:dyDescent="0.25">
      <c r="A174" t="s">
        <v>380</v>
      </c>
      <c r="B174" t="s">
        <v>591</v>
      </c>
      <c r="C174" t="s">
        <v>592</v>
      </c>
    </row>
    <row r="175" spans="1:3" x14ac:dyDescent="0.25">
      <c r="A175">
        <v>15</v>
      </c>
      <c r="B175">
        <v>15</v>
      </c>
      <c r="C175">
        <v>15</v>
      </c>
    </row>
    <row r="176" spans="1:3" x14ac:dyDescent="0.25">
      <c r="A176" t="s">
        <v>205</v>
      </c>
      <c r="B176" t="s">
        <v>205</v>
      </c>
      <c r="C176" t="s">
        <v>593</v>
      </c>
    </row>
    <row r="177" spans="1:3" x14ac:dyDescent="0.25">
      <c r="A177" t="s">
        <v>427</v>
      </c>
      <c r="B177" t="s">
        <v>427</v>
      </c>
      <c r="C177" t="s">
        <v>594</v>
      </c>
    </row>
    <row r="178" spans="1:3" x14ac:dyDescent="0.25">
      <c r="A178" t="s">
        <v>206</v>
      </c>
      <c r="B178" t="s">
        <v>206</v>
      </c>
      <c r="C178" t="s">
        <v>595</v>
      </c>
    </row>
    <row r="179" spans="1:3" x14ac:dyDescent="0.25">
      <c r="A179" t="s">
        <v>292</v>
      </c>
      <c r="B179" t="s">
        <v>292</v>
      </c>
      <c r="C179" t="s">
        <v>523</v>
      </c>
    </row>
    <row r="180" spans="1:3" x14ac:dyDescent="0.25">
      <c r="A180">
        <v>98412271</v>
      </c>
      <c r="B180">
        <v>98412271</v>
      </c>
      <c r="C180">
        <v>98412271</v>
      </c>
    </row>
    <row r="181" spans="1:3" x14ac:dyDescent="0.25">
      <c r="A181" t="s">
        <v>326</v>
      </c>
      <c r="B181" t="s">
        <v>326</v>
      </c>
      <c r="C181" t="s">
        <v>596</v>
      </c>
    </row>
    <row r="182" spans="1:3" x14ac:dyDescent="0.25">
      <c r="A182" s="1">
        <v>43839</v>
      </c>
      <c r="B182" s="1">
        <v>43839</v>
      </c>
      <c r="C182" s="1">
        <v>43839</v>
      </c>
    </row>
    <row r="183" spans="1:3" x14ac:dyDescent="0.25">
      <c r="A183" t="s">
        <v>377</v>
      </c>
      <c r="B183" t="s">
        <v>377</v>
      </c>
      <c r="C183" t="s">
        <v>377</v>
      </c>
    </row>
    <row r="184" spans="1:3" x14ac:dyDescent="0.25">
      <c r="A184" t="s">
        <v>428</v>
      </c>
      <c r="B184" t="s">
        <v>597</v>
      </c>
      <c r="C184" t="s">
        <v>598</v>
      </c>
    </row>
    <row r="185" spans="1:3" x14ac:dyDescent="0.25">
      <c r="A185">
        <v>4</v>
      </c>
      <c r="B185">
        <v>4</v>
      </c>
      <c r="C185">
        <v>4</v>
      </c>
    </row>
    <row r="186" spans="1:3" x14ac:dyDescent="0.25">
      <c r="A186" t="s">
        <v>383</v>
      </c>
      <c r="B186" t="s">
        <v>383</v>
      </c>
      <c r="C186" t="s">
        <v>599</v>
      </c>
    </row>
    <row r="187" spans="1:3" x14ac:dyDescent="0.25">
      <c r="A187">
        <v>18</v>
      </c>
      <c r="B187">
        <v>18</v>
      </c>
      <c r="C187">
        <v>18</v>
      </c>
    </row>
    <row r="188" spans="1:3" x14ac:dyDescent="0.25">
      <c r="A188" t="s">
        <v>209</v>
      </c>
      <c r="B188" t="s">
        <v>209</v>
      </c>
      <c r="C188" t="s">
        <v>600</v>
      </c>
    </row>
    <row r="189" spans="1:3" x14ac:dyDescent="0.25">
      <c r="A189" t="s">
        <v>210</v>
      </c>
      <c r="B189" t="s">
        <v>210</v>
      </c>
      <c r="C189" t="s">
        <v>601</v>
      </c>
    </row>
    <row r="190" spans="1:3" x14ac:dyDescent="0.25">
      <c r="A190">
        <v>98806660</v>
      </c>
      <c r="B190">
        <v>98806660</v>
      </c>
      <c r="C190">
        <v>98806660</v>
      </c>
    </row>
    <row r="191" spans="1:3" x14ac:dyDescent="0.25">
      <c r="A191" t="s">
        <v>328</v>
      </c>
      <c r="B191" t="s">
        <v>328</v>
      </c>
      <c r="C191" t="s">
        <v>602</v>
      </c>
    </row>
    <row r="192" spans="1:3" x14ac:dyDescent="0.25">
      <c r="A192" t="s">
        <v>386</v>
      </c>
      <c r="B192" t="s">
        <v>386</v>
      </c>
      <c r="C192" t="s">
        <v>603</v>
      </c>
    </row>
    <row r="193" spans="1:3" x14ac:dyDescent="0.25">
      <c r="A193">
        <v>20</v>
      </c>
      <c r="B193">
        <v>20</v>
      </c>
      <c r="C193">
        <v>20</v>
      </c>
    </row>
    <row r="194" spans="1:3" x14ac:dyDescent="0.25">
      <c r="A194" t="s">
        <v>213</v>
      </c>
      <c r="B194" t="s">
        <v>213</v>
      </c>
      <c r="C194" t="s">
        <v>604</v>
      </c>
    </row>
    <row r="195" spans="1:3" x14ac:dyDescent="0.25">
      <c r="A195" t="s">
        <v>214</v>
      </c>
      <c r="B195" t="s">
        <v>605</v>
      </c>
      <c r="C195" t="s">
        <v>606</v>
      </c>
    </row>
    <row r="196" spans="1:3" x14ac:dyDescent="0.25">
      <c r="A196" t="s">
        <v>215</v>
      </c>
      <c r="B196" t="s">
        <v>215</v>
      </c>
      <c r="C196" t="s">
        <v>607</v>
      </c>
    </row>
    <row r="197" spans="1:3" x14ac:dyDescent="0.25">
      <c r="A197" t="s">
        <v>29</v>
      </c>
      <c r="B197" t="s">
        <v>608</v>
      </c>
      <c r="C197" t="s">
        <v>609</v>
      </c>
    </row>
    <row r="198" spans="1:3" x14ac:dyDescent="0.25">
      <c r="A198">
        <v>90010170</v>
      </c>
      <c r="B198">
        <v>90010170</v>
      </c>
      <c r="C198">
        <v>90010170</v>
      </c>
    </row>
    <row r="199" spans="1:3" x14ac:dyDescent="0.25">
      <c r="A199" t="s">
        <v>330</v>
      </c>
      <c r="B199" t="s">
        <v>610</v>
      </c>
      <c r="C199" t="s">
        <v>611</v>
      </c>
    </row>
    <row r="200" spans="1:3" x14ac:dyDescent="0.25">
      <c r="A200" s="1">
        <v>37996</v>
      </c>
      <c r="B200" s="1">
        <v>37996</v>
      </c>
      <c r="C200" s="1">
        <v>37996</v>
      </c>
    </row>
    <row r="201" spans="1:3" x14ac:dyDescent="0.25">
      <c r="A201" t="s">
        <v>388</v>
      </c>
      <c r="B201" t="s">
        <v>388</v>
      </c>
      <c r="C201" t="s">
        <v>388</v>
      </c>
    </row>
    <row r="202" spans="1:3" x14ac:dyDescent="0.25">
      <c r="A202" t="s">
        <v>389</v>
      </c>
      <c r="B202" t="s">
        <v>389</v>
      </c>
      <c r="C202" t="s">
        <v>612</v>
      </c>
    </row>
    <row r="203" spans="1:3" x14ac:dyDescent="0.25">
      <c r="A203">
        <v>22</v>
      </c>
      <c r="B203">
        <v>22</v>
      </c>
      <c r="C203">
        <v>22</v>
      </c>
    </row>
    <row r="204" spans="1:3" x14ac:dyDescent="0.25">
      <c r="A204" t="s">
        <v>219</v>
      </c>
      <c r="B204" t="s">
        <v>219</v>
      </c>
      <c r="C204" t="s">
        <v>613</v>
      </c>
    </row>
    <row r="205" spans="1:3" x14ac:dyDescent="0.25">
      <c r="A205">
        <v>99316323</v>
      </c>
      <c r="B205">
        <v>99316323</v>
      </c>
      <c r="C205">
        <v>99316323</v>
      </c>
    </row>
    <row r="206" spans="1:3" x14ac:dyDescent="0.25">
      <c r="A206" t="s">
        <v>332</v>
      </c>
      <c r="B206" t="s">
        <v>332</v>
      </c>
      <c r="C206" t="s">
        <v>614</v>
      </c>
    </row>
    <row r="207" spans="1:3" x14ac:dyDescent="0.25">
      <c r="A207" s="1">
        <v>40554</v>
      </c>
      <c r="B207" s="1">
        <v>40554</v>
      </c>
      <c r="C207" s="1">
        <v>40554</v>
      </c>
    </row>
    <row r="208" spans="1:3" x14ac:dyDescent="0.25">
      <c r="A208" t="s">
        <v>384</v>
      </c>
      <c r="B208" t="s">
        <v>384</v>
      </c>
      <c r="C208" t="s">
        <v>615</v>
      </c>
    </row>
    <row r="209" spans="1:3" x14ac:dyDescent="0.25">
      <c r="A209" t="s">
        <v>391</v>
      </c>
      <c r="B209" t="s">
        <v>391</v>
      </c>
      <c r="C209" t="s">
        <v>616</v>
      </c>
    </row>
    <row r="210" spans="1:3" x14ac:dyDescent="0.25">
      <c r="A210">
        <v>24</v>
      </c>
      <c r="B210">
        <v>24</v>
      </c>
      <c r="C210">
        <v>24</v>
      </c>
    </row>
    <row r="211" spans="1:3" x14ac:dyDescent="0.25">
      <c r="A211" t="s">
        <v>223</v>
      </c>
      <c r="B211" t="s">
        <v>223</v>
      </c>
      <c r="C211" t="s">
        <v>617</v>
      </c>
    </row>
    <row r="212" spans="1:3" x14ac:dyDescent="0.25">
      <c r="A212" t="s">
        <v>224</v>
      </c>
      <c r="B212" t="s">
        <v>224</v>
      </c>
      <c r="C212" t="s">
        <v>618</v>
      </c>
    </row>
    <row r="213" spans="1:3" x14ac:dyDescent="0.25">
      <c r="A213" t="s">
        <v>225</v>
      </c>
      <c r="B213" t="s">
        <v>225</v>
      </c>
      <c r="C213" t="s">
        <v>619</v>
      </c>
    </row>
    <row r="214" spans="1:3" x14ac:dyDescent="0.25">
      <c r="A214" t="s">
        <v>31</v>
      </c>
      <c r="B214" t="s">
        <v>31</v>
      </c>
      <c r="C214" t="s">
        <v>620</v>
      </c>
    </row>
    <row r="215" spans="1:3" x14ac:dyDescent="0.25">
      <c r="A215">
        <v>97682031</v>
      </c>
      <c r="B215">
        <v>97682031</v>
      </c>
      <c r="C215">
        <v>97682031</v>
      </c>
    </row>
    <row r="216" spans="1:3" x14ac:dyDescent="0.25">
      <c r="A216" t="s">
        <v>334</v>
      </c>
      <c r="B216" t="s">
        <v>334</v>
      </c>
      <c r="C216" t="s">
        <v>621</v>
      </c>
    </row>
    <row r="217" spans="1:3" x14ac:dyDescent="0.25">
      <c r="A217" s="1">
        <v>40550</v>
      </c>
      <c r="B217" s="1">
        <v>40550</v>
      </c>
      <c r="C217" s="1">
        <v>40550</v>
      </c>
    </row>
    <row r="218" spans="1:3" x14ac:dyDescent="0.25">
      <c r="A218" t="s">
        <v>392</v>
      </c>
      <c r="B218" t="s">
        <v>392</v>
      </c>
      <c r="C218" t="s">
        <v>397</v>
      </c>
    </row>
    <row r="219" spans="1:3" x14ac:dyDescent="0.25">
      <c r="A219">
        <v>26</v>
      </c>
      <c r="B219">
        <v>26</v>
      </c>
      <c r="C219">
        <v>26</v>
      </c>
    </row>
    <row r="220" spans="1:3" x14ac:dyDescent="0.25">
      <c r="A220" t="s">
        <v>429</v>
      </c>
      <c r="B220" t="s">
        <v>429</v>
      </c>
      <c r="C220" t="s">
        <v>622</v>
      </c>
    </row>
    <row r="221" spans="1:3" x14ac:dyDescent="0.25">
      <c r="A221" t="s">
        <v>229</v>
      </c>
      <c r="B221" t="s">
        <v>229</v>
      </c>
      <c r="C221" t="s">
        <v>623</v>
      </c>
    </row>
    <row r="222" spans="1:3" x14ac:dyDescent="0.25">
      <c r="A222" t="s">
        <v>230</v>
      </c>
      <c r="B222" t="s">
        <v>230</v>
      </c>
      <c r="C222" t="s">
        <v>624</v>
      </c>
    </row>
    <row r="223" spans="1:3" x14ac:dyDescent="0.25">
      <c r="A223">
        <v>92342978</v>
      </c>
      <c r="B223">
        <v>92342978</v>
      </c>
      <c r="C223">
        <v>92342978</v>
      </c>
    </row>
    <row r="224" spans="1:3" x14ac:dyDescent="0.25">
      <c r="A224" t="s">
        <v>34</v>
      </c>
      <c r="B224" t="s">
        <v>34</v>
      </c>
      <c r="C224" t="s">
        <v>625</v>
      </c>
    </row>
    <row r="225" spans="1:3" x14ac:dyDescent="0.25">
      <c r="A225" t="s">
        <v>357</v>
      </c>
      <c r="B225" t="s">
        <v>357</v>
      </c>
      <c r="C225" t="s">
        <v>626</v>
      </c>
    </row>
    <row r="226" spans="1:3" x14ac:dyDescent="0.25">
      <c r="A226" s="1">
        <v>43837</v>
      </c>
      <c r="B226" s="1">
        <v>43837</v>
      </c>
      <c r="C226" s="1">
        <v>43837</v>
      </c>
    </row>
    <row r="227" spans="1:3" x14ac:dyDescent="0.25">
      <c r="A227" t="s">
        <v>390</v>
      </c>
      <c r="B227" t="s">
        <v>627</v>
      </c>
      <c r="C227" t="s">
        <v>628</v>
      </c>
    </row>
    <row r="228" spans="1:3" x14ac:dyDescent="0.25">
      <c r="A228">
        <v>28</v>
      </c>
      <c r="B228">
        <v>28</v>
      </c>
      <c r="C228">
        <v>28</v>
      </c>
    </row>
    <row r="229" spans="1:3" x14ac:dyDescent="0.25">
      <c r="A229" t="s">
        <v>197</v>
      </c>
      <c r="B229" t="s">
        <v>197</v>
      </c>
      <c r="C229" t="s">
        <v>629</v>
      </c>
    </row>
    <row r="230" spans="1:3" x14ac:dyDescent="0.25">
      <c r="A230" t="s">
        <v>233</v>
      </c>
      <c r="B230" t="s">
        <v>233</v>
      </c>
      <c r="C230" t="s">
        <v>630</v>
      </c>
    </row>
    <row r="231" spans="1:3" x14ac:dyDescent="0.25">
      <c r="A231">
        <v>88314028</v>
      </c>
      <c r="B231">
        <v>88314028</v>
      </c>
      <c r="C231">
        <v>88314028</v>
      </c>
    </row>
    <row r="232" spans="1:3" x14ac:dyDescent="0.25">
      <c r="A232">
        <v>30</v>
      </c>
      <c r="B232">
        <v>30</v>
      </c>
      <c r="C232">
        <v>30</v>
      </c>
    </row>
    <row r="233" spans="1:3" x14ac:dyDescent="0.25">
      <c r="A233" t="s">
        <v>236</v>
      </c>
      <c r="B233" t="s">
        <v>236</v>
      </c>
      <c r="C233" t="s">
        <v>631</v>
      </c>
    </row>
    <row r="234" spans="1:3" x14ac:dyDescent="0.25">
      <c r="A234" t="s">
        <v>237</v>
      </c>
      <c r="B234" t="s">
        <v>237</v>
      </c>
      <c r="C234" t="s">
        <v>632</v>
      </c>
    </row>
    <row r="235" spans="1:3" x14ac:dyDescent="0.25">
      <c r="A235" t="s">
        <v>238</v>
      </c>
      <c r="B235" t="s">
        <v>238</v>
      </c>
      <c r="C235" t="s">
        <v>633</v>
      </c>
    </row>
    <row r="236" spans="1:3" x14ac:dyDescent="0.25">
      <c r="A236">
        <v>98008126</v>
      </c>
      <c r="B236">
        <v>98008126</v>
      </c>
      <c r="C236">
        <v>98008126</v>
      </c>
    </row>
    <row r="237" spans="1:3" x14ac:dyDescent="0.25">
      <c r="A237">
        <v>32</v>
      </c>
      <c r="B237">
        <v>32</v>
      </c>
      <c r="C237">
        <v>32</v>
      </c>
    </row>
    <row r="238" spans="1:3" x14ac:dyDescent="0.25">
      <c r="A238" t="s">
        <v>242</v>
      </c>
      <c r="B238" t="s">
        <v>242</v>
      </c>
      <c r="C238" t="s">
        <v>634</v>
      </c>
    </row>
    <row r="239" spans="1:3" x14ac:dyDescent="0.25">
      <c r="A239" t="s">
        <v>243</v>
      </c>
      <c r="B239" t="s">
        <v>243</v>
      </c>
      <c r="C239" t="s">
        <v>635</v>
      </c>
    </row>
    <row r="240" spans="1:3" x14ac:dyDescent="0.25">
      <c r="A240" t="s">
        <v>244</v>
      </c>
      <c r="B240" t="s">
        <v>244</v>
      </c>
      <c r="C240" t="s">
        <v>636</v>
      </c>
    </row>
    <row r="241" spans="1:3" x14ac:dyDescent="0.25">
      <c r="A241">
        <v>94471980</v>
      </c>
      <c r="B241">
        <v>94471980</v>
      </c>
      <c r="C241">
        <v>94471980</v>
      </c>
    </row>
    <row r="242" spans="1:3" x14ac:dyDescent="0.25">
      <c r="A242">
        <v>712012</v>
      </c>
      <c r="B242">
        <v>712012</v>
      </c>
      <c r="C242">
        <v>712012</v>
      </c>
    </row>
    <row r="243" spans="1:3" x14ac:dyDescent="0.25">
      <c r="A243" t="s">
        <v>395</v>
      </c>
      <c r="B243" t="s">
        <v>395</v>
      </c>
      <c r="C243" t="s">
        <v>637</v>
      </c>
    </row>
    <row r="244" spans="1:3" x14ac:dyDescent="0.25">
      <c r="A244">
        <v>34</v>
      </c>
      <c r="B244">
        <v>34</v>
      </c>
      <c r="C244">
        <v>34</v>
      </c>
    </row>
    <row r="245" spans="1:3" x14ac:dyDescent="0.25">
      <c r="A245" t="s">
        <v>248</v>
      </c>
      <c r="B245" t="s">
        <v>248</v>
      </c>
      <c r="C245" t="s">
        <v>638</v>
      </c>
    </row>
    <row r="246" spans="1:3" x14ac:dyDescent="0.25">
      <c r="A246" t="s">
        <v>249</v>
      </c>
      <c r="B246" t="s">
        <v>249</v>
      </c>
      <c r="C246" t="s">
        <v>639</v>
      </c>
    </row>
    <row r="247" spans="1:3" x14ac:dyDescent="0.25">
      <c r="A247" t="s">
        <v>250</v>
      </c>
      <c r="B247" t="s">
        <v>250</v>
      </c>
      <c r="C247" t="s">
        <v>640</v>
      </c>
    </row>
    <row r="248" spans="1:3" x14ac:dyDescent="0.25">
      <c r="A248">
        <v>96644030</v>
      </c>
      <c r="B248">
        <v>96644030</v>
      </c>
      <c r="C248">
        <v>96644030</v>
      </c>
    </row>
    <row r="249" spans="1:3" x14ac:dyDescent="0.25">
      <c r="A249">
        <v>37</v>
      </c>
      <c r="B249">
        <v>37</v>
      </c>
      <c r="C249">
        <v>37</v>
      </c>
    </row>
    <row r="250" spans="1:3" x14ac:dyDescent="0.25">
      <c r="A250" t="s">
        <v>252</v>
      </c>
      <c r="B250" t="s">
        <v>252</v>
      </c>
      <c r="C250" t="s">
        <v>641</v>
      </c>
    </row>
    <row r="251" spans="1:3" x14ac:dyDescent="0.25">
      <c r="A251" t="s">
        <v>253</v>
      </c>
      <c r="B251" t="s">
        <v>253</v>
      </c>
      <c r="C251" t="s">
        <v>642</v>
      </c>
    </row>
    <row r="252" spans="1:3" x14ac:dyDescent="0.25">
      <c r="A252">
        <v>96891723</v>
      </c>
      <c r="B252">
        <v>96891723</v>
      </c>
      <c r="C252">
        <v>96891723</v>
      </c>
    </row>
    <row r="253" spans="1:3" x14ac:dyDescent="0.25">
      <c r="A253" t="s">
        <v>340</v>
      </c>
      <c r="B253" t="s">
        <v>340</v>
      </c>
      <c r="C253" t="s">
        <v>643</v>
      </c>
    </row>
    <row r="254" spans="1:3" x14ac:dyDescent="0.25">
      <c r="A254" t="s">
        <v>396</v>
      </c>
      <c r="B254" t="s">
        <v>396</v>
      </c>
      <c r="C254" t="s">
        <v>644</v>
      </c>
    </row>
    <row r="255" spans="1:3" x14ac:dyDescent="0.25">
      <c r="A255">
        <v>6</v>
      </c>
      <c r="B255">
        <v>6</v>
      </c>
      <c r="C255">
        <v>6</v>
      </c>
    </row>
    <row r="256" spans="1:3" x14ac:dyDescent="0.25">
      <c r="A256">
        <v>39</v>
      </c>
      <c r="B256">
        <v>39</v>
      </c>
      <c r="C256">
        <v>39</v>
      </c>
    </row>
    <row r="257" spans="1:3" x14ac:dyDescent="0.25">
      <c r="A257" t="s">
        <v>255</v>
      </c>
      <c r="B257" t="s">
        <v>255</v>
      </c>
      <c r="C257" t="s">
        <v>645</v>
      </c>
    </row>
    <row r="258" spans="1:3" x14ac:dyDescent="0.25">
      <c r="A258" t="s">
        <v>256</v>
      </c>
      <c r="B258" t="s">
        <v>256</v>
      </c>
      <c r="C258" t="s">
        <v>646</v>
      </c>
    </row>
    <row r="259" spans="1:3" x14ac:dyDescent="0.25">
      <c r="A259">
        <v>96060677</v>
      </c>
      <c r="B259">
        <v>96060677</v>
      </c>
      <c r="C259">
        <v>96060677</v>
      </c>
    </row>
    <row r="260" spans="1:3" x14ac:dyDescent="0.25">
      <c r="A260" t="s">
        <v>310</v>
      </c>
      <c r="B260" t="s">
        <v>310</v>
      </c>
      <c r="C260" t="s">
        <v>647</v>
      </c>
    </row>
    <row r="261" spans="1:3" x14ac:dyDescent="0.25">
      <c r="A261" t="s">
        <v>342</v>
      </c>
      <c r="B261" t="s">
        <v>342</v>
      </c>
      <c r="C261" t="s">
        <v>648</v>
      </c>
    </row>
    <row r="262" spans="1:3" x14ac:dyDescent="0.25">
      <c r="A262" t="s">
        <v>397</v>
      </c>
      <c r="B262" t="s">
        <v>397</v>
      </c>
      <c r="C262" t="s">
        <v>649</v>
      </c>
    </row>
    <row r="263" spans="1:3" x14ac:dyDescent="0.25">
      <c r="A263">
        <v>41</v>
      </c>
      <c r="B263">
        <v>41</v>
      </c>
      <c r="C263">
        <v>41</v>
      </c>
    </row>
    <row r="264" spans="1:3" x14ac:dyDescent="0.25">
      <c r="A264" t="s">
        <v>260</v>
      </c>
      <c r="B264" t="s">
        <v>260</v>
      </c>
      <c r="C264" t="s">
        <v>650</v>
      </c>
    </row>
    <row r="265" spans="1:3" x14ac:dyDescent="0.25">
      <c r="A265" t="s">
        <v>261</v>
      </c>
      <c r="B265" t="s">
        <v>261</v>
      </c>
      <c r="C265" t="s">
        <v>651</v>
      </c>
    </row>
    <row r="266" spans="1:3" x14ac:dyDescent="0.25">
      <c r="A266" t="s">
        <v>262</v>
      </c>
      <c r="B266" t="s">
        <v>262</v>
      </c>
      <c r="C266" t="s">
        <v>646</v>
      </c>
    </row>
    <row r="267" spans="1:3" x14ac:dyDescent="0.25">
      <c r="A267">
        <v>92440541</v>
      </c>
      <c r="B267">
        <v>92440541</v>
      </c>
      <c r="C267">
        <v>92440541</v>
      </c>
    </row>
    <row r="268" spans="1:3" x14ac:dyDescent="0.25">
      <c r="A268" t="s">
        <v>399</v>
      </c>
      <c r="B268" t="s">
        <v>652</v>
      </c>
      <c r="C268" t="s">
        <v>653</v>
      </c>
    </row>
    <row r="269" spans="1:3" x14ac:dyDescent="0.25">
      <c r="A269">
        <v>43</v>
      </c>
      <c r="B269">
        <v>43</v>
      </c>
      <c r="C269">
        <v>43</v>
      </c>
    </row>
    <row r="270" spans="1:3" x14ac:dyDescent="0.25">
      <c r="A270" t="s">
        <v>264</v>
      </c>
      <c r="B270" t="s">
        <v>654</v>
      </c>
      <c r="C270" t="s">
        <v>655</v>
      </c>
    </row>
    <row r="271" spans="1:3" x14ac:dyDescent="0.25">
      <c r="A271" t="s">
        <v>265</v>
      </c>
      <c r="B271" t="s">
        <v>265</v>
      </c>
      <c r="C271" t="s">
        <v>656</v>
      </c>
    </row>
    <row r="272" spans="1:3" x14ac:dyDescent="0.25">
      <c r="A272">
        <v>99560902</v>
      </c>
      <c r="B272">
        <v>99560902</v>
      </c>
      <c r="C272">
        <v>99560902</v>
      </c>
    </row>
    <row r="273" spans="1:3" x14ac:dyDescent="0.25">
      <c r="A273" t="s">
        <v>344</v>
      </c>
      <c r="B273" t="s">
        <v>344</v>
      </c>
      <c r="C273" t="s">
        <v>657</v>
      </c>
    </row>
    <row r="274" spans="1:3" x14ac:dyDescent="0.25">
      <c r="A274" t="s">
        <v>400</v>
      </c>
      <c r="B274" t="s">
        <v>400</v>
      </c>
      <c r="C274" t="s">
        <v>658</v>
      </c>
    </row>
    <row r="275" spans="1:3" x14ac:dyDescent="0.25">
      <c r="A275">
        <v>45</v>
      </c>
      <c r="B275">
        <v>45</v>
      </c>
      <c r="C275">
        <v>45</v>
      </c>
    </row>
    <row r="276" spans="1:3" x14ac:dyDescent="0.25">
      <c r="A276" t="s">
        <v>430</v>
      </c>
      <c r="B276" t="s">
        <v>430</v>
      </c>
      <c r="C276" t="s">
        <v>659</v>
      </c>
    </row>
    <row r="277" spans="1:3" x14ac:dyDescent="0.25">
      <c r="A277" t="s">
        <v>431</v>
      </c>
      <c r="B277" t="s">
        <v>660</v>
      </c>
      <c r="C277" t="s">
        <v>661</v>
      </c>
    </row>
    <row r="278" spans="1:3" x14ac:dyDescent="0.25">
      <c r="A278" t="s">
        <v>269</v>
      </c>
      <c r="B278" t="s">
        <v>269</v>
      </c>
      <c r="C278" t="s">
        <v>662</v>
      </c>
    </row>
    <row r="279" spans="1:3" x14ac:dyDescent="0.25">
      <c r="A279">
        <v>96333862</v>
      </c>
      <c r="B279">
        <v>96333862</v>
      </c>
      <c r="C279">
        <v>96333862</v>
      </c>
    </row>
    <row r="280" spans="1:3" x14ac:dyDescent="0.25">
      <c r="A280" t="s">
        <v>346</v>
      </c>
      <c r="B280" t="s">
        <v>663</v>
      </c>
      <c r="C280" t="s">
        <v>664</v>
      </c>
    </row>
    <row r="281" spans="1:3" x14ac:dyDescent="0.25">
      <c r="A281" t="s">
        <v>402</v>
      </c>
      <c r="B281" t="s">
        <v>402</v>
      </c>
      <c r="C281" t="s">
        <v>665</v>
      </c>
    </row>
    <row r="282" spans="1:3" x14ac:dyDescent="0.25">
      <c r="A282">
        <v>47</v>
      </c>
      <c r="B282">
        <v>47</v>
      </c>
      <c r="C282">
        <v>47</v>
      </c>
    </row>
    <row r="283" spans="1:3" x14ac:dyDescent="0.25">
      <c r="A283" t="s">
        <v>432</v>
      </c>
      <c r="B283" t="s">
        <v>666</v>
      </c>
      <c r="C283" t="s">
        <v>667</v>
      </c>
    </row>
    <row r="284" spans="1:3" x14ac:dyDescent="0.25">
      <c r="A284" t="s">
        <v>433</v>
      </c>
      <c r="B284" t="s">
        <v>433</v>
      </c>
      <c r="C284" t="s">
        <v>668</v>
      </c>
    </row>
    <row r="285" spans="1:3" x14ac:dyDescent="0.25">
      <c r="A285" t="s">
        <v>271</v>
      </c>
      <c r="B285" t="s">
        <v>271</v>
      </c>
      <c r="C285" t="s">
        <v>669</v>
      </c>
    </row>
    <row r="286" spans="1:3" x14ac:dyDescent="0.25">
      <c r="A286">
        <v>96596136</v>
      </c>
      <c r="B286">
        <v>96596136</v>
      </c>
      <c r="C286">
        <v>96596136</v>
      </c>
    </row>
    <row r="287" spans="1:3" x14ac:dyDescent="0.25">
      <c r="A287" t="s">
        <v>348</v>
      </c>
      <c r="B287" t="s">
        <v>670</v>
      </c>
      <c r="C287" t="s">
        <v>671</v>
      </c>
    </row>
    <row r="288" spans="1:3" x14ac:dyDescent="0.25">
      <c r="A288" s="1">
        <v>40917</v>
      </c>
      <c r="B288" s="1">
        <v>40917</v>
      </c>
      <c r="C288" s="1">
        <v>40917</v>
      </c>
    </row>
    <row r="289" spans="1:3" x14ac:dyDescent="0.25">
      <c r="A289" t="s">
        <v>398</v>
      </c>
      <c r="B289" t="s">
        <v>398</v>
      </c>
      <c r="C289" t="s">
        <v>672</v>
      </c>
    </row>
    <row r="290" spans="1:3" x14ac:dyDescent="0.25">
      <c r="A290">
        <v>49</v>
      </c>
      <c r="B290">
        <v>49</v>
      </c>
      <c r="C290">
        <v>49</v>
      </c>
    </row>
    <row r="291" spans="1:3" x14ac:dyDescent="0.25">
      <c r="A291" t="s">
        <v>275</v>
      </c>
      <c r="B291" t="s">
        <v>275</v>
      </c>
      <c r="C291" t="s">
        <v>673</v>
      </c>
    </row>
    <row r="292" spans="1:3" x14ac:dyDescent="0.25">
      <c r="A292" t="s">
        <v>434</v>
      </c>
      <c r="B292" t="s">
        <v>434</v>
      </c>
      <c r="C292" t="s">
        <v>674</v>
      </c>
    </row>
    <row r="293" spans="1:3" x14ac:dyDescent="0.25">
      <c r="A293" t="s">
        <v>435</v>
      </c>
      <c r="B293" t="s">
        <v>675</v>
      </c>
      <c r="C293" t="s">
        <v>676</v>
      </c>
    </row>
    <row r="294" spans="1:3" x14ac:dyDescent="0.25">
      <c r="A294">
        <v>92632395</v>
      </c>
      <c r="B294">
        <v>92632395</v>
      </c>
      <c r="C294">
        <v>92632395</v>
      </c>
    </row>
    <row r="295" spans="1:3" x14ac:dyDescent="0.25">
      <c r="A295" s="1">
        <v>43101</v>
      </c>
      <c r="B295" s="1">
        <v>43101</v>
      </c>
      <c r="C295" s="1">
        <v>43101</v>
      </c>
    </row>
    <row r="296" spans="1:3" x14ac:dyDescent="0.25">
      <c r="A296">
        <v>51</v>
      </c>
      <c r="B296">
        <v>51</v>
      </c>
      <c r="C296">
        <v>51</v>
      </c>
    </row>
    <row r="297" spans="1:3" x14ac:dyDescent="0.25">
      <c r="A297" t="s">
        <v>436</v>
      </c>
      <c r="B297" t="s">
        <v>436</v>
      </c>
      <c r="C297" t="s">
        <v>677</v>
      </c>
    </row>
    <row r="298" spans="1:3" x14ac:dyDescent="0.25">
      <c r="A298" t="s">
        <v>437</v>
      </c>
      <c r="B298" t="s">
        <v>437</v>
      </c>
      <c r="C298" t="s">
        <v>678</v>
      </c>
    </row>
    <row r="299" spans="1:3" x14ac:dyDescent="0.25">
      <c r="A299">
        <v>97282539</v>
      </c>
      <c r="B299">
        <v>97282539</v>
      </c>
      <c r="C299">
        <v>97282539</v>
      </c>
    </row>
    <row r="300" spans="1:3" x14ac:dyDescent="0.25">
      <c r="A300" s="1">
        <v>45658</v>
      </c>
      <c r="B300" s="1">
        <v>45658</v>
      </c>
      <c r="C300" s="1">
        <v>45658</v>
      </c>
    </row>
    <row r="301" spans="1:3" x14ac:dyDescent="0.25">
      <c r="A301">
        <v>53</v>
      </c>
      <c r="B301">
        <v>53</v>
      </c>
      <c r="C301">
        <v>53</v>
      </c>
    </row>
    <row r="302" spans="1:3" x14ac:dyDescent="0.25">
      <c r="A302" t="s">
        <v>438</v>
      </c>
      <c r="B302" t="s">
        <v>438</v>
      </c>
      <c r="C302" t="s">
        <v>679</v>
      </c>
    </row>
    <row r="303" spans="1:3" x14ac:dyDescent="0.25">
      <c r="A303">
        <v>98319993</v>
      </c>
      <c r="B303">
        <v>98319993</v>
      </c>
      <c r="C303">
        <v>98319993</v>
      </c>
    </row>
    <row r="304" spans="1:3" x14ac:dyDescent="0.25">
      <c r="A304" t="s">
        <v>302</v>
      </c>
      <c r="B304" t="s">
        <v>680</v>
      </c>
      <c r="C304" t="s">
        <v>681</v>
      </c>
    </row>
    <row r="305" spans="1:3" x14ac:dyDescent="0.25">
      <c r="A305" t="s">
        <v>351</v>
      </c>
      <c r="B305" t="s">
        <v>351</v>
      </c>
      <c r="C305" t="s">
        <v>682</v>
      </c>
    </row>
    <row r="306" spans="1:3" x14ac:dyDescent="0.25">
      <c r="A306" t="s">
        <v>439</v>
      </c>
      <c r="B306" t="s">
        <v>439</v>
      </c>
      <c r="C306" t="s">
        <v>683</v>
      </c>
    </row>
    <row r="307" spans="1:3" x14ac:dyDescent="0.25">
      <c r="A307">
        <v>55</v>
      </c>
      <c r="B307">
        <v>55</v>
      </c>
      <c r="C307">
        <v>55</v>
      </c>
    </row>
    <row r="308" spans="1:3" x14ac:dyDescent="0.25">
      <c r="A308" t="s">
        <v>440</v>
      </c>
      <c r="B308" t="s">
        <v>684</v>
      </c>
      <c r="C308" t="s">
        <v>685</v>
      </c>
    </row>
    <row r="309" spans="1:3" x14ac:dyDescent="0.25">
      <c r="A309">
        <v>96291436</v>
      </c>
      <c r="B309">
        <v>96291436</v>
      </c>
      <c r="C309">
        <v>96291436</v>
      </c>
    </row>
    <row r="310" spans="1:3" x14ac:dyDescent="0.25">
      <c r="A310" t="s">
        <v>308</v>
      </c>
      <c r="B310" t="s">
        <v>308</v>
      </c>
      <c r="C310" t="s">
        <v>308</v>
      </c>
    </row>
    <row r="311" spans="1:3" x14ac:dyDescent="0.25">
      <c r="A311" t="s">
        <v>352</v>
      </c>
      <c r="B311" t="s">
        <v>352</v>
      </c>
      <c r="C311" t="s">
        <v>686</v>
      </c>
    </row>
    <row r="312" spans="1:3" x14ac:dyDescent="0.25">
      <c r="A312">
        <v>57</v>
      </c>
      <c r="B312">
        <v>57</v>
      </c>
      <c r="C312">
        <v>57</v>
      </c>
    </row>
    <row r="313" spans="1:3" x14ac:dyDescent="0.25">
      <c r="A313" t="s">
        <v>441</v>
      </c>
      <c r="B313" t="s">
        <v>441</v>
      </c>
      <c r="C313" t="s">
        <v>687</v>
      </c>
    </row>
    <row r="314" spans="1:3" x14ac:dyDescent="0.25">
      <c r="A314" t="s">
        <v>287</v>
      </c>
      <c r="B314" t="s">
        <v>688</v>
      </c>
      <c r="C314" t="s">
        <v>689</v>
      </c>
    </row>
    <row r="315" spans="1:3" x14ac:dyDescent="0.25">
      <c r="A315" t="s">
        <v>293</v>
      </c>
      <c r="B315" t="s">
        <v>293</v>
      </c>
      <c r="C315" t="s">
        <v>690</v>
      </c>
    </row>
    <row r="316" spans="1:3" x14ac:dyDescent="0.25">
      <c r="A316" t="s">
        <v>33</v>
      </c>
      <c r="B316" t="s">
        <v>33</v>
      </c>
      <c r="C316" t="s">
        <v>691</v>
      </c>
    </row>
    <row r="317" spans="1:3" x14ac:dyDescent="0.25">
      <c r="A317">
        <v>97946048</v>
      </c>
      <c r="B317">
        <v>97946048</v>
      </c>
      <c r="C317">
        <v>97946048</v>
      </c>
    </row>
    <row r="318" spans="1:3" x14ac:dyDescent="0.25">
      <c r="A318" t="s">
        <v>314</v>
      </c>
      <c r="B318" t="s">
        <v>314</v>
      </c>
      <c r="C318" t="s">
        <v>314</v>
      </c>
    </row>
    <row r="319" spans="1:3" x14ac:dyDescent="0.25">
      <c r="A319">
        <v>10044</v>
      </c>
      <c r="B319">
        <v>10044</v>
      </c>
      <c r="C319">
        <v>10044</v>
      </c>
    </row>
    <row r="320" spans="1:3" x14ac:dyDescent="0.25">
      <c r="A320" s="65" t="s">
        <v>694</v>
      </c>
      <c r="B320" s="65" t="s">
        <v>695</v>
      </c>
      <c r="C320" s="65" t="s">
        <v>696</v>
      </c>
    </row>
    <row r="321" spans="1:3" x14ac:dyDescent="0.25">
      <c r="A321" t="s">
        <v>697</v>
      </c>
      <c r="B321" t="s">
        <v>699</v>
      </c>
      <c r="C321" t="s">
        <v>698</v>
      </c>
    </row>
    <row r="322" spans="1:3" x14ac:dyDescent="0.25">
      <c r="A322" t="s">
        <v>700</v>
      </c>
      <c r="B322" t="s">
        <v>701</v>
      </c>
      <c r="C322" t="s">
        <v>702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Welcome</vt:lpstr>
      <vt:lpstr>Data entry</vt:lpstr>
      <vt:lpstr>Analysis</vt:lpstr>
      <vt:lpstr>Reports</vt:lpstr>
      <vt:lpstr>Set up</vt:lpstr>
      <vt:lpstr>database</vt:lpstr>
      <vt:lpstr>raw</vt:lpstr>
      <vt:lpstr>Languages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joel aboagye</dc:creator>
  <cp:lastModifiedBy>Samuel Adu-Berekorang</cp:lastModifiedBy>
  <dcterms:created xsi:type="dcterms:W3CDTF">2015-06-05T18:17:20Z</dcterms:created>
  <dcterms:modified xsi:type="dcterms:W3CDTF">2025-03-17T12:07:47Z</dcterms:modified>
</cp:coreProperties>
</file>